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vcorp.sharepoint.com/teams/BillingTeam161/Shared Documents/Projects/2026/03.SAMSUNG C&amp;T/05. May 2026/"/>
    </mc:Choice>
  </mc:AlternateContent>
  <xr:revisionPtr revIDLastSave="0" documentId="8_{E266AC3C-703B-4DE4-9365-F836260D0FD1}" xr6:coauthVersionLast="47" xr6:coauthVersionMax="47" xr10:uidLastSave="{00000000-0000-0000-0000-000000000000}"/>
  <bookViews>
    <workbookView xWindow="-120" yWindow="-120" windowWidth="29040" windowHeight="15720" xr2:uid="{9CC3E28F-4813-4F58-BF6C-7CBAFECBA0D2}"/>
  </bookViews>
  <sheets>
    <sheet name="MAY 2026" sheetId="1" r:id="rId1"/>
    <sheet name="SCT0166" sheetId="2" r:id="rId2"/>
    <sheet name="HE0561" sheetId="3" r:id="rId3"/>
    <sheet name="HE0557" sheetId="4" r:id="rId4"/>
    <sheet name="HVDC-SIE-SCT-20260428-001" sheetId="5" r:id="rId5"/>
  </sheets>
  <definedNames>
    <definedName name="_xlnm._FilterDatabase" localSheetId="0" hidden="1">'MAY 2026'!$A$4:$AC$10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6" i="5" l="1"/>
  <c r="F32" i="5"/>
  <c r="H32" i="5" s="1"/>
  <c r="F31" i="5"/>
  <c r="H31" i="5" s="1"/>
  <c r="I30" i="5"/>
  <c r="H30" i="5"/>
  <c r="G30" i="5"/>
  <c r="F30" i="5"/>
  <c r="F29" i="5"/>
  <c r="G29" i="5" s="1"/>
  <c r="I29" i="5" s="1"/>
  <c r="F28" i="5"/>
  <c r="H28" i="5" s="1"/>
  <c r="F27" i="5"/>
  <c r="H27" i="5" s="1"/>
  <c r="E27" i="5"/>
  <c r="F26" i="5"/>
  <c r="G26" i="5" s="1"/>
  <c r="I26" i="5" s="1"/>
  <c r="F25" i="5"/>
  <c r="G25" i="5" s="1"/>
  <c r="I25" i="5" s="1"/>
  <c r="R8" i="1" s="1"/>
  <c r="F24" i="5"/>
  <c r="G24" i="5" s="1"/>
  <c r="I24" i="5" s="1"/>
  <c r="O8" i="1" s="1"/>
  <c r="I23" i="5"/>
  <c r="H23" i="5"/>
  <c r="G23" i="5"/>
  <c r="F23" i="5"/>
  <c r="B28" i="4"/>
  <c r="F24" i="4"/>
  <c r="H24" i="4" s="1"/>
  <c r="H23" i="4"/>
  <c r="G23" i="4"/>
  <c r="I23" i="4" s="1"/>
  <c r="F23" i="4"/>
  <c r="C16" i="4"/>
  <c r="B32" i="3"/>
  <c r="H28" i="3"/>
  <c r="G28" i="3"/>
  <c r="I28" i="3" s="1"/>
  <c r="H27" i="3"/>
  <c r="G27" i="3"/>
  <c r="I27" i="3" s="1"/>
  <c r="I26" i="3"/>
  <c r="H26" i="3"/>
  <c r="G26" i="3"/>
  <c r="E26" i="3"/>
  <c r="F25" i="3"/>
  <c r="H25" i="3" s="1"/>
  <c r="F24" i="3"/>
  <c r="H24" i="3" s="1"/>
  <c r="F23" i="3"/>
  <c r="H23" i="3" s="1"/>
  <c r="H29" i="3" s="1"/>
  <c r="B28" i="2"/>
  <c r="E24" i="2"/>
  <c r="F24" i="2" s="1"/>
  <c r="F23" i="2"/>
  <c r="H23" i="2" s="1"/>
  <c r="C21" i="2"/>
  <c r="H16" i="2"/>
  <c r="C16" i="2"/>
  <c r="Y9" i="1"/>
  <c r="Z9" i="1" s="1"/>
  <c r="F8" i="1"/>
  <c r="H25" i="2" l="1"/>
  <c r="H24" i="2"/>
  <c r="G24" i="2"/>
  <c r="I24" i="2" s="1"/>
  <c r="V5" i="1" s="1"/>
  <c r="N7" i="1"/>
  <c r="U8" i="1"/>
  <c r="H25" i="4"/>
  <c r="X6" i="1"/>
  <c r="H33" i="5"/>
  <c r="I33" i="5"/>
  <c r="G23" i="3"/>
  <c r="G27" i="5"/>
  <c r="I27" i="5" s="1"/>
  <c r="X8" i="1" s="1"/>
  <c r="N8" i="1"/>
  <c r="H24" i="5"/>
  <c r="G31" i="5"/>
  <c r="I31" i="5" s="1"/>
  <c r="G24" i="3"/>
  <c r="I24" i="3" s="1"/>
  <c r="O6" i="1" s="1"/>
  <c r="H25" i="5"/>
  <c r="G32" i="5"/>
  <c r="I32" i="5" s="1"/>
  <c r="H29" i="5"/>
  <c r="H26" i="5"/>
  <c r="G24" i="4"/>
  <c r="I24" i="4" s="1"/>
  <c r="O7" i="1" s="1"/>
  <c r="G28" i="5"/>
  <c r="I28" i="5" s="1"/>
  <c r="G25" i="3"/>
  <c r="I25" i="3" s="1"/>
  <c r="P6" i="1" s="1"/>
  <c r="G23" i="2"/>
  <c r="G33" i="5" l="1"/>
  <c r="G25" i="4"/>
  <c r="I25" i="4"/>
  <c r="Y7" i="1"/>
  <c r="Y8" i="1"/>
  <c r="G25" i="2"/>
  <c r="I23" i="2"/>
  <c r="I23" i="3"/>
  <c r="G29" i="3"/>
  <c r="I29" i="3" l="1"/>
  <c r="N6" i="1"/>
  <c r="Y6" i="1" s="1"/>
  <c r="Z6" i="1" s="1"/>
  <c r="I25" i="2"/>
  <c r="U5" i="1"/>
  <c r="Y5" i="1" s="1"/>
  <c r="Z5" i="1" l="1"/>
  <c r="Z10" i="1" s="1"/>
  <c r="Y10" i="1"/>
</calcChain>
</file>

<file path=xl/sharedStrings.xml><?xml version="1.0" encoding="utf-8"?>
<sst xmlns="http://schemas.openxmlformats.org/spreadsheetml/2006/main" count="260" uniqueCount="127">
  <si>
    <t>SAMSUNG C&amp;T DRAFT INVOICE FOR HVDC (LIGHTING PROJECT) - MAY 2026</t>
  </si>
  <si>
    <t>ADDITIONAL</t>
  </si>
  <si>
    <t>S/No</t>
  </si>
  <si>
    <t>Shpt Ref</t>
  </si>
  <si>
    <t>Job #</t>
  </si>
  <si>
    <t>Type</t>
  </si>
  <si>
    <t>BL #</t>
  </si>
  <si>
    <t>POL</t>
  </si>
  <si>
    <t>POD</t>
  </si>
  <si>
    <t>Mode</t>
  </si>
  <si>
    <t>No. Of CNTR</t>
  </si>
  <si>
    <t>Quantity</t>
  </si>
  <si>
    <t>Bill of Entry Number</t>
  </si>
  <si>
    <t>BOE Issued Date</t>
  </si>
  <si>
    <t>MASTER DO
CHARGE</t>
  </si>
  <si>
    <t>CUSTOMS
CLEARANCE
CHARGE</t>
  </si>
  <si>
    <t>CUSTOMS
INSPECTION
CHARGE</t>
  </si>
  <si>
    <t>HOUSE
DO
CHARGE (BL EXCHANGE) / DELIVERY ORDER</t>
  </si>
  <si>
    <t>PORT HANDLING CHARGE</t>
  </si>
  <si>
    <t>TRANSPORTATION
CHARGE</t>
  </si>
  <si>
    <t>ADDITIONAL AMOUNT
(Please refer to the detail sheet)</t>
  </si>
  <si>
    <t>FUEL
 SURCHARGES / OUTLAY FEE</t>
  </si>
  <si>
    <t>DUTY RELATED CHARGES</t>
  </si>
  <si>
    <t>AT COST AMOUNT / GATE PASS (DSV HANDLING)</t>
  </si>
  <si>
    <t>GRAND TOTAL (USD)</t>
  </si>
  <si>
    <t>GRAND TOTAL (AED)</t>
  </si>
  <si>
    <t>Remarks</t>
  </si>
  <si>
    <t>01.</t>
  </si>
  <si>
    <t>-</t>
  </si>
  <si>
    <t>02.</t>
  </si>
  <si>
    <t>03.</t>
  </si>
  <si>
    <t>HVDC-ADOPT-SCT-0166</t>
  </si>
  <si>
    <t>SAMF0017230</t>
  </si>
  <si>
    <t>FREIGHT</t>
  </si>
  <si>
    <t>SELA85628900</t>
  </si>
  <si>
    <t>KRPUS</t>
  </si>
  <si>
    <t>AEKHL</t>
  </si>
  <si>
    <t>SRA</t>
  </si>
  <si>
    <t>11057/2026</t>
  </si>
  <si>
    <t>Ocean Freight Fees</t>
  </si>
  <si>
    <t>04.</t>
  </si>
  <si>
    <t>HVDC-ADOPT-HE-0561</t>
  </si>
  <si>
    <t>BAMF0021081</t>
  </si>
  <si>
    <t>CLEARANCE</t>
  </si>
  <si>
    <t>716-97970644</t>
  </si>
  <si>
    <t>TRIST</t>
  </si>
  <si>
    <t>AEAUH</t>
  </si>
  <si>
    <t>AIR</t>
  </si>
  <si>
    <t>24397/2026</t>
  </si>
  <si>
    <t>See HE0561 Tab</t>
  </si>
  <si>
    <t>HVDC-ADOPT-HE-0557</t>
  </si>
  <si>
    <t>BAMF0021185</t>
  </si>
  <si>
    <t>RTM1575864</t>
  </si>
  <si>
    <t>BEANR</t>
  </si>
  <si>
    <t>SEA</t>
  </si>
  <si>
    <t>13286/2026</t>
  </si>
  <si>
    <t>See HE0557 Tab</t>
  </si>
  <si>
    <t>HVDC-SIE-SCT-20260428-001</t>
  </si>
  <si>
    <t>BAMF0021109</t>
  </si>
  <si>
    <t>EGCAI</t>
  </si>
  <si>
    <t>AESHJ</t>
  </si>
  <si>
    <t>1-3-59-1-26-20932</t>
  </si>
  <si>
    <t>See HVDC-SIE-SCT-20260428-001 Tab</t>
  </si>
  <si>
    <t>TOTAL AMOUNT (USD)</t>
  </si>
  <si>
    <t>BILLING INSTRUCTION</t>
  </si>
  <si>
    <t>BILLING TO:</t>
  </si>
  <si>
    <t>SERVICE PROVIDER:</t>
  </si>
  <si>
    <t>SAMSUNG C&amp;T CORPORATION ABU DHABI</t>
  </si>
  <si>
    <t>DSV Solutions PJSC</t>
  </si>
  <si>
    <t>P.O. BOX 42654</t>
  </si>
  <si>
    <t>PO BOX 93971, PLOT NO. MW4</t>
  </si>
  <si>
    <t>ABU DHABI, UNITED ARAB EMIRATES</t>
  </si>
  <si>
    <t>MUSSAFAH ABU DHABI, UAE</t>
  </si>
  <si>
    <t>TRN. 100326220900003</t>
  </si>
  <si>
    <t>TEL: 00971 2 5099599</t>
  </si>
  <si>
    <t>FAX NO. 00971 2 5514833</t>
  </si>
  <si>
    <t>TRN: 100047214000003</t>
  </si>
  <si>
    <t>SHIPMENT NO.</t>
  </si>
  <si>
    <t>DELIVERY DATE</t>
  </si>
  <si>
    <t>PORT OF LOADING</t>
  </si>
  <si>
    <t>Incheon</t>
  </si>
  <si>
    <t>MASTER BL</t>
  </si>
  <si>
    <t>HDMUSELA85628900</t>
  </si>
  <si>
    <t>HOUSE BL</t>
  </si>
  <si>
    <t>SSEL00002021</t>
  </si>
  <si>
    <t>CARGO DETAILS</t>
  </si>
  <si>
    <t>POTABLE WATER QUALITY SYSTEM</t>
  </si>
  <si>
    <t>DSV DRAFT INVOICE REF:</t>
  </si>
  <si>
    <t>ITEM</t>
  </si>
  <si>
    <t>QTY</t>
  </si>
  <si>
    <t>RATE SOURCE</t>
  </si>
  <si>
    <t>RATE AMOUNT (USD)</t>
  </si>
  <si>
    <t>AMOUNT AED</t>
  </si>
  <si>
    <t>TOTAL AMOUNT AED</t>
  </si>
  <si>
    <t>AMOUNT  USD</t>
  </si>
  <si>
    <t xml:space="preserve">TOTAL AMOUNT (USD) </t>
  </si>
  <si>
    <t>BASIC OCEAN FREIGHT FEE</t>
  </si>
  <si>
    <t>AT COST</t>
  </si>
  <si>
    <t>OUTLAY FEE (10%)</t>
  </si>
  <si>
    <t>DSV HANDLING</t>
  </si>
  <si>
    <t>TOTAL</t>
  </si>
  <si>
    <t>Exchange Rate Per 1 USD</t>
  </si>
  <si>
    <t>PREPARED BY: John Romeo Verastigue Etis</t>
  </si>
  <si>
    <t>DATE :</t>
  </si>
  <si>
    <t>Istanbul</t>
  </si>
  <si>
    <t>716-7970644</t>
  </si>
  <si>
    <t>EARTHING &amp; LIGHTNING PROTECTION MATERIAL</t>
  </si>
  <si>
    <t>BAMF0020462</t>
  </si>
  <si>
    <t>MASTER DO FEE</t>
  </si>
  <si>
    <t>CONTRACT</t>
  </si>
  <si>
    <t>CUSTOMS CLEARANCE FEE</t>
  </si>
  <si>
    <t>CUSTOMS INSPECTION FEE</t>
  </si>
  <si>
    <t>AIRPORT STORAGE FEE</t>
  </si>
  <si>
    <t>TRUCK APPOINTMENT FEE</t>
  </si>
  <si>
    <t>DOCUMENT PROCESSING FEE</t>
  </si>
  <si>
    <t>ANRB58744</t>
  </si>
  <si>
    <t>6X20TANK CNTRS STC; SHIPPERS OWNED</t>
  </si>
  <si>
    <t>Cairo</t>
  </si>
  <si>
    <t>194-00033224</t>
  </si>
  <si>
    <t>BMC20260184</t>
  </si>
  <si>
    <t>LIGHTING POLE ACCESSORIES</t>
  </si>
  <si>
    <t>AIRPORT TERMINAL HANDLING FEE</t>
  </si>
  <si>
    <t>CUSTOMS DUTY FEE</t>
  </si>
  <si>
    <t>NEW CODE OPENING FE (SHJ CUSTOMS)</t>
  </si>
  <si>
    <t>CUSTOMS DOCUMENTATION &amp; GATE PASS FEE</t>
  </si>
  <si>
    <t>AS PER OFFER</t>
  </si>
  <si>
    <t>BILL OF ENTRY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</si>
</sst>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11"/>
      <color theme="1"/>
      <name val="Aptos"/>
      <family val="2"/>
    </font>
    <font>
      <b/>
      <i/>
      <sz val="24"/>
      <color theme="1"/>
      <name val="Aptos"/>
      <family val="2"/>
    </font>
    <font>
      <i/>
      <sz val="11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b/>
      <sz val="10"/>
      <name val="Aptos"/>
      <family val="2"/>
    </font>
    <font>
      <b/>
      <sz val="10"/>
      <color theme="3" tint="-0.499984740745262"/>
      <name val="Aptos"/>
      <family val="2"/>
    </font>
    <font>
      <b/>
      <u/>
      <sz val="11"/>
      <color theme="10"/>
      <name val="Calibri"/>
      <family val="2"/>
      <scheme val="minor"/>
    </font>
    <font>
      <b/>
      <u/>
      <sz val="11"/>
      <color theme="10"/>
      <name val="Aptos"/>
      <family val="2"/>
    </font>
    <font>
      <b/>
      <sz val="12"/>
      <color theme="0"/>
      <name val="Aptos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43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textRotation="90"/>
    </xf>
    <xf numFmtId="0" fontId="10" fillId="4" borderId="5" xfId="0" applyFont="1" applyFill="1" applyBorder="1" applyAlignment="1">
      <alignment horizontal="center" vertical="center" textRotation="180"/>
    </xf>
    <xf numFmtId="0" fontId="10" fillId="4" borderId="5" xfId="0" applyFont="1" applyFill="1" applyBorder="1" applyAlignment="1">
      <alignment horizontal="center" vertical="center" wrapText="1"/>
    </xf>
    <xf numFmtId="164" fontId="10" fillId="4" borderId="5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textRotation="180" wrapText="1"/>
    </xf>
    <xf numFmtId="0" fontId="10" fillId="4" borderId="6" xfId="0" applyFont="1" applyFill="1" applyBorder="1" applyAlignment="1">
      <alignment horizontal="center" vertical="center" wrapText="1"/>
    </xf>
    <xf numFmtId="0" fontId="11" fillId="5" borderId="5" xfId="0" quotePrefix="1" applyFont="1" applyFill="1" applyBorder="1" applyAlignment="1">
      <alignment horizontal="center" vertical="center"/>
    </xf>
    <xf numFmtId="0" fontId="2" fillId="0" borderId="5" xfId="2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8" fontId="12" fillId="0" borderId="5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64" fontId="13" fillId="6" borderId="5" xfId="0" applyNumberFormat="1" applyFont="1" applyFill="1" applyBorder="1" applyAlignment="1">
      <alignment horizontal="center" vertical="center" wrapText="1"/>
    </xf>
    <xf numFmtId="44" fontId="12" fillId="0" borderId="5" xfId="0" applyNumberFormat="1" applyFont="1" applyBorder="1" applyAlignment="1">
      <alignment horizontal="center" vertical="center"/>
    </xf>
    <xf numFmtId="43" fontId="12" fillId="7" borderId="5" xfId="0" applyNumberFormat="1" applyFont="1" applyFill="1" applyBorder="1" applyAlignment="1">
      <alignment horizontal="center" vertical="center"/>
    </xf>
    <xf numFmtId="8" fontId="12" fillId="0" borderId="5" xfId="0" applyNumberFormat="1" applyFont="1" applyBorder="1" applyAlignment="1">
      <alignment horizontal="center" vertical="center" wrapText="1"/>
    </xf>
    <xf numFmtId="4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5" xfId="2" applyFont="1" applyFill="1" applyBorder="1" applyAlignment="1">
      <alignment horizontal="center" vertical="center" wrapText="1"/>
    </xf>
    <xf numFmtId="0" fontId="15" fillId="0" borderId="5" xfId="2" applyFont="1" applyFill="1" applyBorder="1" applyAlignment="1">
      <alignment horizontal="center" vertical="center" wrapText="1"/>
    </xf>
    <xf numFmtId="8" fontId="16" fillId="4" borderId="6" xfId="0" applyNumberFormat="1" applyFont="1" applyFill="1" applyBorder="1" applyAlignment="1">
      <alignment horizontal="center" vertical="center"/>
    </xf>
    <xf numFmtId="8" fontId="16" fillId="4" borderId="8" xfId="0" applyNumberFormat="1" applyFont="1" applyFill="1" applyBorder="1" applyAlignment="1">
      <alignment horizontal="center" vertical="center"/>
    </xf>
    <xf numFmtId="8" fontId="16" fillId="4" borderId="7" xfId="0" applyNumberFormat="1" applyFont="1" applyFill="1" applyBorder="1" applyAlignment="1">
      <alignment horizontal="center" vertical="center"/>
    </xf>
    <xf numFmtId="43" fontId="1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7" fillId="4" borderId="9" xfId="0" applyFont="1" applyFill="1" applyBorder="1"/>
    <xf numFmtId="0" fontId="17" fillId="4" borderId="10" xfId="0" applyFont="1" applyFill="1" applyBorder="1"/>
    <xf numFmtId="0" fontId="17" fillId="4" borderId="11" xfId="0" applyFont="1" applyFill="1" applyBorder="1"/>
    <xf numFmtId="0" fontId="17" fillId="0" borderId="12" xfId="0" applyFont="1" applyBorder="1"/>
    <xf numFmtId="0" fontId="17" fillId="0" borderId="0" xfId="0" applyFont="1"/>
    <xf numFmtId="0" fontId="17" fillId="0" borderId="13" xfId="0" applyFont="1" applyBorder="1"/>
    <xf numFmtId="0" fontId="18" fillId="8" borderId="14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9" fillId="0" borderId="9" xfId="0" applyFont="1" applyBorder="1"/>
    <xf numFmtId="0" fontId="20" fillId="0" borderId="10" xfId="0" applyFont="1" applyBorder="1"/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20" fillId="0" borderId="0" xfId="0" applyFont="1"/>
    <xf numFmtId="0" fontId="20" fillId="0" borderId="12" xfId="0" applyFont="1" applyBorder="1"/>
    <xf numFmtId="0" fontId="20" fillId="0" borderId="0" xfId="0" applyFont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7" xfId="0" applyFont="1" applyBorder="1"/>
    <xf numFmtId="0" fontId="20" fillId="0" borderId="18" xfId="0" applyFont="1" applyBorder="1"/>
    <xf numFmtId="0" fontId="20" fillId="0" borderId="18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19" fillId="0" borderId="12" xfId="0" applyFont="1" applyBorder="1" applyAlignment="1">
      <alignment horizontal="left"/>
    </xf>
    <xf numFmtId="0" fontId="19" fillId="0" borderId="0" xfId="0" applyFont="1"/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vertical="center"/>
    </xf>
    <xf numFmtId="164" fontId="20" fillId="0" borderId="10" xfId="0" applyNumberFormat="1" applyFont="1" applyBorder="1" applyAlignment="1">
      <alignment vertical="center"/>
    </xf>
    <xf numFmtId="15" fontId="20" fillId="0" borderId="13" xfId="0" applyNumberFormat="1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2" xfId="0" applyFont="1" applyBorder="1"/>
    <xf numFmtId="0" fontId="20" fillId="0" borderId="13" xfId="0" applyFont="1" applyBorder="1" applyAlignment="1">
      <alignment horizontal="left" vertical="center"/>
    </xf>
    <xf numFmtId="0" fontId="19" fillId="0" borderId="2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43" fontId="20" fillId="0" borderId="25" xfId="1" applyFont="1" applyBorder="1" applyAlignment="1">
      <alignment horizontal="center" vertical="center"/>
    </xf>
    <xf numFmtId="43" fontId="21" fillId="0" borderId="25" xfId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44" fontId="21" fillId="0" borderId="1" xfId="0" applyNumberFormat="1" applyFont="1" applyBorder="1" applyAlignment="1">
      <alignment horizontal="center" vertical="center" wrapText="1"/>
    </xf>
    <xf numFmtId="44" fontId="21" fillId="0" borderId="26" xfId="0" applyNumberFormat="1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4" fontId="22" fillId="0" borderId="1" xfId="0" applyNumberFormat="1" applyFont="1" applyBorder="1" applyAlignment="1">
      <alignment horizontal="center" vertical="center" wrapText="1"/>
    </xf>
    <xf numFmtId="44" fontId="22" fillId="0" borderId="1" xfId="0" applyNumberFormat="1" applyFont="1" applyBorder="1" applyAlignment="1">
      <alignment horizontal="center" vertical="center" wrapText="1"/>
    </xf>
    <xf numFmtId="44" fontId="22" fillId="0" borderId="26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/>
    </xf>
    <xf numFmtId="0" fontId="21" fillId="0" borderId="31" xfId="0" applyFont="1" applyBorder="1" applyAlignment="1">
      <alignment vertical="center" wrapText="1"/>
    </xf>
    <xf numFmtId="0" fontId="19" fillId="0" borderId="32" xfId="0" applyFont="1" applyBorder="1"/>
    <xf numFmtId="0" fontId="19" fillId="0" borderId="33" xfId="0" applyFont="1" applyBorder="1"/>
    <xf numFmtId="0" fontId="19" fillId="0" borderId="1" xfId="0" applyFont="1" applyBorder="1"/>
    <xf numFmtId="0" fontId="21" fillId="0" borderId="1" xfId="0" applyFont="1" applyBorder="1" applyAlignment="1">
      <alignment horizontal="center" vertical="center" wrapText="1"/>
    </xf>
    <xf numFmtId="8" fontId="21" fillId="0" borderId="1" xfId="0" applyNumberFormat="1" applyFont="1" applyBorder="1" applyAlignment="1">
      <alignment vertical="center" wrapText="1"/>
    </xf>
    <xf numFmtId="8" fontId="21" fillId="0" borderId="26" xfId="0" applyNumberFormat="1" applyFont="1" applyBorder="1" applyAlignment="1">
      <alignment vertical="center" wrapText="1"/>
    </xf>
    <xf numFmtId="0" fontId="20" fillId="0" borderId="13" xfId="0" applyFont="1" applyBorder="1"/>
    <xf numFmtId="164" fontId="20" fillId="0" borderId="18" xfId="0" applyNumberFormat="1" applyFont="1" applyBorder="1" applyAlignment="1">
      <alignment horizontal="left" vertical="center"/>
    </xf>
    <xf numFmtId="0" fontId="20" fillId="0" borderId="19" xfId="0" applyFont="1" applyBorder="1"/>
    <xf numFmtId="8" fontId="0" fillId="0" borderId="0" xfId="0" applyNumberFormat="1"/>
    <xf numFmtId="43" fontId="20" fillId="0" borderId="1" xfId="1" applyFont="1" applyBorder="1" applyAlignment="1">
      <alignment horizontal="center" vertical="center"/>
    </xf>
    <xf numFmtId="43" fontId="21" fillId="0" borderId="1" xfId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882461</xdr:colOff>
      <xdr:row>0</xdr:row>
      <xdr:rowOff>103991</xdr:rowOff>
    </xdr:from>
    <xdr:to>
      <xdr:col>26</xdr:col>
      <xdr:colOff>1034246</xdr:colOff>
      <xdr:row>1</xdr:row>
      <xdr:rowOff>464252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976786-F729-41B2-B0B6-3DDED6649D0D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3711" y="103991"/>
          <a:ext cx="1923435" cy="550761"/>
        </a:xfrm>
        <a:prstGeom prst="rect">
          <a:avLst/>
        </a:prstGeom>
      </xdr:spPr>
    </xdr:pic>
    <xdr:clientData/>
  </xdr:twoCellAnchor>
  <xdr:twoCellAnchor editAs="oneCell">
    <xdr:from>
      <xdr:col>1</xdr:col>
      <xdr:colOff>68963</xdr:colOff>
      <xdr:row>0</xdr:row>
      <xdr:rowOff>130642</xdr:rowOff>
    </xdr:from>
    <xdr:to>
      <xdr:col>4</xdr:col>
      <xdr:colOff>348250</xdr:colOff>
      <xdr:row>1</xdr:row>
      <xdr:rowOff>492818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C92B390-83BF-4EE8-8F5F-654AA2FF3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3" y="130642"/>
          <a:ext cx="3841637" cy="552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3</xdr:row>
      <xdr:rowOff>47173</xdr:rowOff>
    </xdr:from>
    <xdr:ext cx="1085851" cy="568381"/>
    <xdr:pic>
      <xdr:nvPicPr>
        <xdr:cNvPr id="2" name="Picture 1">
          <a:extLst>
            <a:ext uri="{FF2B5EF4-FFF2-40B4-BE49-F238E27FC236}">
              <a16:creationId xmlns:a16="http://schemas.microsoft.com/office/drawing/2014/main" id="{C33C7EAE-E4AB-45D7-88F1-095CD093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532948"/>
          <a:ext cx="1085851" cy="568381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142875</xdr:colOff>
      <xdr:row>3</xdr:row>
      <xdr:rowOff>171450</xdr:rowOff>
    </xdr:from>
    <xdr:to>
      <xdr:col>1</xdr:col>
      <xdr:colOff>2171701</xdr:colOff>
      <xdr:row>6</xdr:row>
      <xdr:rowOff>19050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62BE40B-6CF8-4A66-91E9-BF3E9E812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57225"/>
          <a:ext cx="2505076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3</xdr:row>
      <xdr:rowOff>47173</xdr:rowOff>
    </xdr:from>
    <xdr:ext cx="1085851" cy="568381"/>
    <xdr:pic>
      <xdr:nvPicPr>
        <xdr:cNvPr id="2" name="Picture 1">
          <a:extLst>
            <a:ext uri="{FF2B5EF4-FFF2-40B4-BE49-F238E27FC236}">
              <a16:creationId xmlns:a16="http://schemas.microsoft.com/office/drawing/2014/main" id="{EF367534-89F9-49FB-99CD-576913E95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532948"/>
          <a:ext cx="1085851" cy="568381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142875</xdr:colOff>
      <xdr:row>3</xdr:row>
      <xdr:rowOff>171450</xdr:rowOff>
    </xdr:from>
    <xdr:to>
      <xdr:col>1</xdr:col>
      <xdr:colOff>2171701</xdr:colOff>
      <xdr:row>6</xdr:row>
      <xdr:rowOff>19050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486613B-9810-4A0C-AE1B-69CCCD499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57225"/>
          <a:ext cx="2505076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3</xdr:row>
      <xdr:rowOff>47173</xdr:rowOff>
    </xdr:from>
    <xdr:ext cx="1085851" cy="568381"/>
    <xdr:pic>
      <xdr:nvPicPr>
        <xdr:cNvPr id="2" name="Picture 1">
          <a:extLst>
            <a:ext uri="{FF2B5EF4-FFF2-40B4-BE49-F238E27FC236}">
              <a16:creationId xmlns:a16="http://schemas.microsoft.com/office/drawing/2014/main" id="{F4576055-25E5-4CA5-A698-2EF67F6E8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532948"/>
          <a:ext cx="1085851" cy="568381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142875</xdr:colOff>
      <xdr:row>3</xdr:row>
      <xdr:rowOff>171450</xdr:rowOff>
    </xdr:from>
    <xdr:to>
      <xdr:col>1</xdr:col>
      <xdr:colOff>2171701</xdr:colOff>
      <xdr:row>6</xdr:row>
      <xdr:rowOff>19050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D25AB20-794A-48EE-89D0-AA6807008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57225"/>
          <a:ext cx="2505076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3</xdr:row>
      <xdr:rowOff>47173</xdr:rowOff>
    </xdr:from>
    <xdr:ext cx="1085851" cy="568381"/>
    <xdr:pic>
      <xdr:nvPicPr>
        <xdr:cNvPr id="2" name="Picture 1">
          <a:extLst>
            <a:ext uri="{FF2B5EF4-FFF2-40B4-BE49-F238E27FC236}">
              <a16:creationId xmlns:a16="http://schemas.microsoft.com/office/drawing/2014/main" id="{E5528CB1-5FA8-4DE8-A977-CDA4770F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532948"/>
          <a:ext cx="1085851" cy="568381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142875</xdr:colOff>
      <xdr:row>3</xdr:row>
      <xdr:rowOff>171450</xdr:rowOff>
    </xdr:from>
    <xdr:to>
      <xdr:col>1</xdr:col>
      <xdr:colOff>2171701</xdr:colOff>
      <xdr:row>6</xdr:row>
      <xdr:rowOff>19050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08F7381-B537-432A-8049-DD1D8851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57225"/>
          <a:ext cx="2505076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066E-4B9E-4D53-9950-AF3AEB605DB4}">
  <sheetPr>
    <tabColor rgb="FFFFFF00"/>
    <pageSetUpPr fitToPage="1"/>
  </sheetPr>
  <dimension ref="A1:AC38"/>
  <sheetViews>
    <sheetView tabSelected="1" zoomScale="80" zoomScaleNormal="80" workbookViewId="0">
      <pane xSplit="5" ySplit="4" topLeftCell="F5" activePane="bottomRight" state="frozen"/>
      <selection activeCell="AA24" sqref="AA24"/>
      <selection pane="topRight" activeCell="AA24" sqref="AA24"/>
      <selection pane="bottomLeft" activeCell="AA24" sqref="AA24"/>
      <selection pane="bottomRight" activeCell="N21" sqref="N21"/>
    </sheetView>
  </sheetViews>
  <sheetFormatPr defaultColWidth="8.85546875" defaultRowHeight="15" x14ac:dyDescent="0.25"/>
  <cols>
    <col min="1" max="1" width="2.85546875" style="7" hidden="1" customWidth="1"/>
    <col min="2" max="2" width="4.85546875" style="9" bestFit="1" customWidth="1"/>
    <col min="3" max="3" width="34" style="42" customWidth="1"/>
    <col min="4" max="4" width="14.5703125" style="43" bestFit="1" customWidth="1"/>
    <col min="5" max="5" width="12.140625" style="43" customWidth="1"/>
    <col min="6" max="6" width="14.5703125" style="43" bestFit="1" customWidth="1"/>
    <col min="7" max="8" width="9.7109375" style="43" bestFit="1" customWidth="1"/>
    <col min="9" max="9" width="8" style="43" customWidth="1"/>
    <col min="10" max="10" width="6.28515625" style="43" customWidth="1"/>
    <col min="11" max="11" width="6.7109375" style="43" customWidth="1"/>
    <col min="12" max="12" width="17.85546875" style="43" bestFit="1" customWidth="1"/>
    <col min="13" max="13" width="13.28515625" style="44" customWidth="1"/>
    <col min="14" max="14" width="12.7109375" style="43" bestFit="1" customWidth="1"/>
    <col min="15" max="16" width="11.5703125" style="43" customWidth="1"/>
    <col min="17" max="17" width="13.42578125" style="43" customWidth="1"/>
    <col min="18" max="18" width="12.140625" style="43" bestFit="1" customWidth="1"/>
    <col min="19" max="19" width="12.140625" style="43" customWidth="1"/>
    <col min="20" max="20" width="10.85546875" style="43" hidden="1" customWidth="1"/>
    <col min="21" max="21" width="13.42578125" style="43" customWidth="1"/>
    <col min="22" max="22" width="12.140625" style="43" bestFit="1" customWidth="1"/>
    <col min="23" max="23" width="13.42578125" style="43" customWidth="1"/>
    <col min="24" max="24" width="14.140625" style="43" customWidth="1"/>
    <col min="25" max="25" width="12.42578125" style="47" customWidth="1"/>
    <col min="26" max="26" width="12.42578125" style="47" hidden="1" customWidth="1"/>
    <col min="27" max="27" width="24.85546875" style="42" customWidth="1"/>
    <col min="28" max="28" width="11.28515625" style="6" bestFit="1" customWidth="1"/>
    <col min="29" max="29" width="10.140625" style="7" bestFit="1" customWidth="1"/>
    <col min="30" max="16384" width="8.85546875" style="7"/>
  </cols>
  <sheetData>
    <row r="1" spans="2:28" x14ac:dyDescent="0.25"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  <c r="Z1" s="5"/>
      <c r="AA1" s="2"/>
    </row>
    <row r="2" spans="2:28" ht="45" customHeigh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2:28" ht="16.5" thickBot="1" x14ac:dyDescent="0.3">
      <c r="C3" s="2"/>
      <c r="D3" s="3"/>
      <c r="E3" s="3"/>
      <c r="F3" s="3"/>
      <c r="G3" s="3"/>
      <c r="H3" s="3"/>
      <c r="I3" s="3"/>
      <c r="J3" s="3"/>
      <c r="K3" s="3"/>
      <c r="L3" s="3"/>
      <c r="M3" s="4"/>
      <c r="N3" s="10"/>
      <c r="O3" s="10"/>
      <c r="P3" s="10"/>
      <c r="Q3" s="10"/>
      <c r="R3" s="10"/>
      <c r="S3" s="10"/>
      <c r="T3" s="11" t="s">
        <v>1</v>
      </c>
      <c r="U3" s="12"/>
      <c r="V3" s="12"/>
      <c r="W3" s="12"/>
      <c r="X3" s="12"/>
      <c r="Y3" s="13"/>
      <c r="Z3" s="14"/>
      <c r="AA3" s="2"/>
    </row>
    <row r="4" spans="2:28" ht="139.5" thickTop="1" thickBot="1" x14ac:dyDescent="0.3">
      <c r="B4" s="15" t="s">
        <v>2</v>
      </c>
      <c r="C4" s="16" t="s">
        <v>3</v>
      </c>
      <c r="D4" s="16" t="s">
        <v>4</v>
      </c>
      <c r="E4" s="17" t="s">
        <v>5</v>
      </c>
      <c r="F4" s="16" t="s">
        <v>6</v>
      </c>
      <c r="G4" s="18" t="s">
        <v>7</v>
      </c>
      <c r="H4" s="18" t="s">
        <v>8</v>
      </c>
      <c r="I4" s="16" t="s">
        <v>9</v>
      </c>
      <c r="J4" s="15" t="s">
        <v>10</v>
      </c>
      <c r="K4" s="15" t="s">
        <v>11</v>
      </c>
      <c r="L4" s="19" t="s">
        <v>12</v>
      </c>
      <c r="M4" s="20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21" t="s">
        <v>19</v>
      </c>
      <c r="U4" s="19" t="s">
        <v>20</v>
      </c>
      <c r="V4" s="15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22" t="s">
        <v>26</v>
      </c>
    </row>
    <row r="5" spans="2:28" s="35" customFormat="1" ht="16.5" thickTop="1" thickBot="1" x14ac:dyDescent="0.3">
      <c r="B5" s="23" t="s">
        <v>27</v>
      </c>
      <c r="C5" s="36" t="s">
        <v>31</v>
      </c>
      <c r="D5" s="25" t="s">
        <v>32</v>
      </c>
      <c r="E5" s="26" t="s">
        <v>33</v>
      </c>
      <c r="F5" s="27" t="s">
        <v>34</v>
      </c>
      <c r="G5" s="28" t="s">
        <v>35</v>
      </c>
      <c r="H5" s="26" t="s">
        <v>36</v>
      </c>
      <c r="I5" s="28" t="s">
        <v>37</v>
      </c>
      <c r="J5" s="28">
        <v>2</v>
      </c>
      <c r="K5" s="28" t="s">
        <v>28</v>
      </c>
      <c r="L5" s="29" t="s">
        <v>38</v>
      </c>
      <c r="M5" s="30">
        <v>46130</v>
      </c>
      <c r="N5" s="31"/>
      <c r="O5" s="31"/>
      <c r="P5" s="31"/>
      <c r="Q5" s="31"/>
      <c r="R5" s="31"/>
      <c r="S5" s="31"/>
      <c r="T5" s="31"/>
      <c r="U5" s="31">
        <f>'SCT0166'!I23</f>
        <v>7200</v>
      </c>
      <c r="V5" s="31">
        <f>'SCT0166'!I24</f>
        <v>720</v>
      </c>
      <c r="W5" s="31"/>
      <c r="X5" s="31"/>
      <c r="Y5" s="32">
        <f t="shared" ref="Y5:Y9" si="0">SUM(N5:X5)</f>
        <v>7920</v>
      </c>
      <c r="Z5" s="32">
        <f t="shared" ref="Z5:Z6" si="1">Y5*3.6725</f>
        <v>29086.2</v>
      </c>
      <c r="AA5" s="26" t="s">
        <v>39</v>
      </c>
      <c r="AB5" s="34"/>
    </row>
    <row r="6" spans="2:28" s="35" customFormat="1" ht="16.5" thickTop="1" thickBot="1" x14ac:dyDescent="0.3">
      <c r="B6" s="23" t="s">
        <v>29</v>
      </c>
      <c r="C6" s="36" t="s">
        <v>41</v>
      </c>
      <c r="D6" s="25" t="s">
        <v>42</v>
      </c>
      <c r="E6" s="26" t="s">
        <v>43</v>
      </c>
      <c r="F6" s="27" t="s">
        <v>44</v>
      </c>
      <c r="G6" s="28" t="s">
        <v>45</v>
      </c>
      <c r="H6" s="26" t="s">
        <v>46</v>
      </c>
      <c r="I6" s="28" t="s">
        <v>47</v>
      </c>
      <c r="J6" s="28" t="s">
        <v>28</v>
      </c>
      <c r="K6" s="28">
        <v>100</v>
      </c>
      <c r="L6" s="29" t="s">
        <v>48</v>
      </c>
      <c r="M6" s="30">
        <v>46150</v>
      </c>
      <c r="N6" s="31">
        <f>'HE0561'!I23</f>
        <v>80</v>
      </c>
      <c r="O6" s="31">
        <f>'HE0561'!I24</f>
        <v>150</v>
      </c>
      <c r="P6" s="31">
        <f>'HE0561'!I25</f>
        <v>125</v>
      </c>
      <c r="Q6" s="31"/>
      <c r="R6" s="31"/>
      <c r="S6" s="31"/>
      <c r="T6" s="31"/>
      <c r="U6" s="31"/>
      <c r="V6" s="31"/>
      <c r="W6" s="31"/>
      <c r="X6" s="31">
        <f>SUM('HE0561'!I26:I28)</f>
        <v>5224.0163376446571</v>
      </c>
      <c r="Y6" s="32">
        <f t="shared" si="0"/>
        <v>5579.0163376446571</v>
      </c>
      <c r="Z6" s="32">
        <f t="shared" si="1"/>
        <v>20488.937500000004</v>
      </c>
      <c r="AA6" s="26" t="s">
        <v>49</v>
      </c>
      <c r="AB6" s="34"/>
    </row>
    <row r="7" spans="2:28" s="35" customFormat="1" ht="16.5" thickTop="1" thickBot="1" x14ac:dyDescent="0.3">
      <c r="B7" s="23" t="s">
        <v>30</v>
      </c>
      <c r="C7" s="24" t="s">
        <v>50</v>
      </c>
      <c r="D7" s="25" t="s">
        <v>51</v>
      </c>
      <c r="E7" s="26" t="s">
        <v>43</v>
      </c>
      <c r="F7" s="27" t="s">
        <v>52</v>
      </c>
      <c r="G7" s="28" t="s">
        <v>53</v>
      </c>
      <c r="H7" s="26" t="s">
        <v>46</v>
      </c>
      <c r="I7" s="28" t="s">
        <v>54</v>
      </c>
      <c r="J7" s="28">
        <v>6</v>
      </c>
      <c r="K7" s="28">
        <v>6</v>
      </c>
      <c r="L7" s="29" t="s">
        <v>55</v>
      </c>
      <c r="M7" s="30">
        <v>46157</v>
      </c>
      <c r="N7" s="31">
        <f>'HE0557'!I23</f>
        <v>150</v>
      </c>
      <c r="O7" s="31">
        <f>'HE0557'!I24</f>
        <v>150</v>
      </c>
      <c r="P7" s="31"/>
      <c r="Q7" s="31"/>
      <c r="R7" s="31"/>
      <c r="S7" s="31"/>
      <c r="T7" s="31"/>
      <c r="U7" s="31"/>
      <c r="V7" s="31"/>
      <c r="W7" s="31"/>
      <c r="X7" s="31"/>
      <c r="Y7" s="32">
        <f t="shared" si="0"/>
        <v>300</v>
      </c>
      <c r="Z7" s="32"/>
      <c r="AA7" s="26" t="s">
        <v>56</v>
      </c>
      <c r="AB7" s="34"/>
    </row>
    <row r="8" spans="2:28" s="35" customFormat="1" ht="28.5" thickTop="1" thickBot="1" x14ac:dyDescent="0.3">
      <c r="B8" s="23" t="s">
        <v>40</v>
      </c>
      <c r="C8" s="24" t="s">
        <v>57</v>
      </c>
      <c r="D8" s="25" t="s">
        <v>58</v>
      </c>
      <c r="E8" s="26" t="s">
        <v>43</v>
      </c>
      <c r="F8" s="27" t="str">
        <f>'HVDC-SIE-SCT-20260428-001'!C18</f>
        <v>194-00033224</v>
      </c>
      <c r="G8" s="28" t="s">
        <v>59</v>
      </c>
      <c r="H8" s="26" t="s">
        <v>60</v>
      </c>
      <c r="I8" s="28" t="s">
        <v>47</v>
      </c>
      <c r="J8" s="28" t="s">
        <v>28</v>
      </c>
      <c r="K8" s="28">
        <v>2</v>
      </c>
      <c r="L8" s="29" t="s">
        <v>61</v>
      </c>
      <c r="M8" s="30">
        <v>46163</v>
      </c>
      <c r="N8" s="31">
        <f>'HVDC-SIE-SCT-20260428-001'!I23</f>
        <v>80</v>
      </c>
      <c r="O8" s="31">
        <f>'HVDC-SIE-SCT-20260428-001'!I24</f>
        <v>150</v>
      </c>
      <c r="P8" s="31"/>
      <c r="Q8" s="31"/>
      <c r="R8" s="31">
        <f>'HVDC-SIE-SCT-20260428-001'!I25</f>
        <v>368.50000000000011</v>
      </c>
      <c r="S8" s="31"/>
      <c r="T8" s="31"/>
      <c r="U8" s="31">
        <f>SUM('HVDC-SIE-SCT-20260428-001'!I29:I31)</f>
        <v>330</v>
      </c>
      <c r="V8" s="31"/>
      <c r="W8" s="31"/>
      <c r="X8" s="31">
        <f>SUM('HVDC-SIE-SCT-20260428-001'!I26:I28)</f>
        <v>612.35534377038061</v>
      </c>
      <c r="Y8" s="32">
        <f t="shared" si="0"/>
        <v>1540.8553437703808</v>
      </c>
      <c r="Z8" s="32"/>
      <c r="AA8" s="33" t="s">
        <v>62</v>
      </c>
      <c r="AB8" s="34"/>
    </row>
    <row r="9" spans="2:28" s="35" customFormat="1" ht="16.5" thickTop="1" thickBot="1" x14ac:dyDescent="0.3">
      <c r="B9" s="23"/>
      <c r="C9" s="37"/>
      <c r="D9" s="25"/>
      <c r="E9" s="26"/>
      <c r="F9" s="27"/>
      <c r="G9" s="28"/>
      <c r="H9" s="26"/>
      <c r="I9" s="28"/>
      <c r="J9" s="28"/>
      <c r="K9" s="28"/>
      <c r="L9" s="29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2">
        <f t="shared" si="0"/>
        <v>0</v>
      </c>
      <c r="Z9" s="32">
        <f t="shared" ref="Z9" si="2">Y9*3.6725</f>
        <v>0</v>
      </c>
      <c r="AA9" s="26"/>
    </row>
    <row r="10" spans="2:28" ht="17.25" thickTop="1" thickBot="1" x14ac:dyDescent="0.3">
      <c r="B10" s="38" t="s">
        <v>63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0"/>
      <c r="Y10" s="41">
        <f>SUM(Y5:Y9)</f>
        <v>15339.871681415039</v>
      </c>
      <c r="Z10" s="41">
        <f>SUM(Z5:Z9)</f>
        <v>49575.137500000004</v>
      </c>
      <c r="AB10" s="7"/>
    </row>
    <row r="11" spans="2:28" ht="15.75" thickTop="1" x14ac:dyDescent="0.25">
      <c r="Y11" s="45"/>
      <c r="Z11" s="45"/>
    </row>
    <row r="12" spans="2:28" x14ac:dyDescent="0.25">
      <c r="O12" s="46"/>
      <c r="P12" s="46"/>
    </row>
    <row r="13" spans="2:28" x14ac:dyDescent="0.25">
      <c r="O13" s="46"/>
      <c r="P13" s="46"/>
      <c r="Y13" s="48"/>
      <c r="Z13" s="48"/>
    </row>
    <row r="14" spans="2:28" x14ac:dyDescent="0.25">
      <c r="M14" s="43"/>
      <c r="N14" s="46"/>
      <c r="X14" s="47"/>
      <c r="Y14" s="49"/>
      <c r="Z14" s="42"/>
      <c r="AA14" s="7"/>
    </row>
    <row r="15" spans="2:28" x14ac:dyDescent="0.25">
      <c r="M15" s="43"/>
      <c r="N15" s="46"/>
      <c r="X15" s="47"/>
      <c r="Y15" s="42"/>
      <c r="Z15" s="42"/>
      <c r="AA15" s="7"/>
    </row>
    <row r="16" spans="2:28" x14ac:dyDescent="0.25">
      <c r="M16" s="43"/>
      <c r="N16" s="46"/>
      <c r="X16" s="47"/>
      <c r="Y16" s="42"/>
      <c r="Z16" s="42"/>
      <c r="AA16" s="7"/>
    </row>
    <row r="18" spans="1:29" s="43" customFormat="1" x14ac:dyDescent="0.25">
      <c r="A18" s="7"/>
      <c r="B18" s="9"/>
      <c r="C18" s="42"/>
      <c r="J18" s="46"/>
      <c r="M18" s="44"/>
      <c r="Y18" s="47"/>
      <c r="Z18" s="47"/>
      <c r="AA18" s="42"/>
      <c r="AB18" s="6"/>
      <c r="AC18" s="7"/>
    </row>
    <row r="19" spans="1:29" s="43" customFormat="1" x14ac:dyDescent="0.25">
      <c r="A19" s="7"/>
      <c r="B19" s="9"/>
      <c r="C19" s="42"/>
      <c r="J19" s="46"/>
      <c r="M19" s="44"/>
      <c r="Y19" s="47"/>
      <c r="Z19" s="47"/>
      <c r="AA19" s="42"/>
      <c r="AB19" s="6"/>
      <c r="AC19" s="7"/>
    </row>
    <row r="20" spans="1:29" s="43" customFormat="1" x14ac:dyDescent="0.25">
      <c r="A20" s="7"/>
      <c r="B20" s="9"/>
      <c r="C20" s="42"/>
      <c r="J20" s="46"/>
      <c r="M20" s="44"/>
      <c r="Y20" s="47"/>
      <c r="Z20" s="47"/>
      <c r="AA20" s="42"/>
      <c r="AB20" s="6"/>
      <c r="AC20" s="7"/>
    </row>
    <row r="21" spans="1:29" s="43" customFormat="1" x14ac:dyDescent="0.25">
      <c r="A21" s="7"/>
      <c r="B21" s="9"/>
      <c r="C21" s="42"/>
      <c r="J21" s="46"/>
      <c r="M21" s="44"/>
      <c r="Y21" s="47"/>
      <c r="Z21" s="47"/>
      <c r="AA21" s="42"/>
      <c r="AB21" s="6"/>
      <c r="AC21" s="7"/>
    </row>
    <row r="22" spans="1:29" s="43" customFormat="1" x14ac:dyDescent="0.25">
      <c r="A22" s="7"/>
      <c r="B22" s="9"/>
      <c r="C22" s="42"/>
      <c r="J22" s="46"/>
      <c r="M22" s="44"/>
      <c r="Y22" s="47"/>
      <c r="Z22" s="47"/>
      <c r="AA22" s="42"/>
      <c r="AB22" s="6"/>
      <c r="AC22" s="7"/>
    </row>
    <row r="23" spans="1:29" s="43" customFormat="1" x14ac:dyDescent="0.25">
      <c r="A23" s="7"/>
      <c r="B23" s="9"/>
      <c r="C23" s="42"/>
      <c r="J23" s="46"/>
      <c r="M23" s="44"/>
      <c r="Y23" s="47"/>
      <c r="Z23" s="47"/>
      <c r="AA23" s="42"/>
      <c r="AB23" s="6"/>
      <c r="AC23" s="7"/>
    </row>
    <row r="24" spans="1:29" s="43" customFormat="1" x14ac:dyDescent="0.25">
      <c r="A24" s="7"/>
      <c r="B24" s="9"/>
      <c r="C24" s="42"/>
      <c r="J24" s="46"/>
      <c r="M24" s="44"/>
      <c r="Y24" s="47"/>
      <c r="Z24" s="47"/>
      <c r="AA24" s="42"/>
      <c r="AB24" s="6"/>
      <c r="AC24" s="7"/>
    </row>
    <row r="25" spans="1:29" s="43" customFormat="1" x14ac:dyDescent="0.25">
      <c r="A25" s="7"/>
      <c r="B25" s="9"/>
      <c r="C25" s="42"/>
      <c r="J25" s="46"/>
      <c r="M25" s="44"/>
      <c r="Y25" s="47"/>
      <c r="Z25" s="47"/>
      <c r="AA25" s="42"/>
      <c r="AB25" s="6"/>
      <c r="AC25" s="7"/>
    </row>
    <row r="26" spans="1:29" s="43" customFormat="1" x14ac:dyDescent="0.25">
      <c r="A26" s="7"/>
      <c r="B26" s="9"/>
      <c r="C26" s="42"/>
      <c r="J26" s="46"/>
      <c r="M26" s="44"/>
      <c r="Y26" s="47"/>
      <c r="Z26" s="47"/>
      <c r="AA26" s="42"/>
      <c r="AB26" s="6"/>
      <c r="AC26" s="7"/>
    </row>
    <row r="27" spans="1:29" s="43" customFormat="1" x14ac:dyDescent="0.25">
      <c r="A27" s="7"/>
      <c r="B27" s="9"/>
      <c r="C27" s="42"/>
      <c r="J27" s="46"/>
      <c r="M27" s="44"/>
      <c r="Y27" s="47"/>
      <c r="Z27" s="47"/>
      <c r="AA27" s="42"/>
      <c r="AB27" s="6"/>
      <c r="AC27" s="7"/>
    </row>
    <row r="28" spans="1:29" s="43" customFormat="1" x14ac:dyDescent="0.25">
      <c r="A28" s="7"/>
      <c r="B28" s="9"/>
      <c r="C28" s="42"/>
      <c r="J28" s="46"/>
      <c r="M28" s="44"/>
      <c r="Y28" s="47"/>
      <c r="Z28" s="47"/>
      <c r="AA28" s="42"/>
      <c r="AB28" s="6"/>
      <c r="AC28" s="7"/>
    </row>
    <row r="29" spans="1:29" s="43" customFormat="1" x14ac:dyDescent="0.25">
      <c r="A29" s="7"/>
      <c r="B29" s="9"/>
      <c r="C29" s="42"/>
      <c r="J29" s="46"/>
      <c r="M29" s="44"/>
      <c r="Y29" s="47"/>
      <c r="Z29" s="47"/>
      <c r="AA29" s="42"/>
      <c r="AB29" s="6"/>
      <c r="AC29" s="7"/>
    </row>
    <row r="30" spans="1:29" s="43" customFormat="1" x14ac:dyDescent="0.25">
      <c r="A30" s="7"/>
      <c r="B30" s="9"/>
      <c r="C30" s="42"/>
      <c r="J30" s="46"/>
      <c r="M30" s="44"/>
      <c r="Y30" s="47"/>
      <c r="Z30" s="47"/>
      <c r="AA30" s="42"/>
      <c r="AB30" s="6"/>
      <c r="AC30" s="7"/>
    </row>
    <row r="31" spans="1:29" s="43" customFormat="1" x14ac:dyDescent="0.25">
      <c r="A31" s="7"/>
      <c r="B31" s="9"/>
      <c r="C31" s="42"/>
      <c r="J31" s="46"/>
      <c r="M31" s="44"/>
      <c r="Y31" s="47"/>
      <c r="Z31" s="47"/>
      <c r="AA31" s="42"/>
      <c r="AB31" s="6"/>
      <c r="AC31" s="7"/>
    </row>
    <row r="32" spans="1:29" s="43" customFormat="1" x14ac:dyDescent="0.25">
      <c r="A32" s="7"/>
      <c r="B32" s="9"/>
      <c r="C32" s="42"/>
      <c r="J32" s="46"/>
      <c r="M32" s="44"/>
      <c r="Y32" s="47"/>
      <c r="Z32" s="47"/>
      <c r="AA32" s="42"/>
      <c r="AB32" s="6"/>
      <c r="AC32" s="7"/>
    </row>
    <row r="33" spans="1:29" s="43" customFormat="1" x14ac:dyDescent="0.25">
      <c r="A33" s="7"/>
      <c r="B33" s="9"/>
      <c r="C33" s="42"/>
      <c r="J33" s="46"/>
      <c r="M33" s="44"/>
      <c r="Y33" s="47"/>
      <c r="Z33" s="47"/>
      <c r="AA33" s="42"/>
      <c r="AB33" s="6"/>
      <c r="AC33" s="7"/>
    </row>
    <row r="34" spans="1:29" s="43" customFormat="1" x14ac:dyDescent="0.25">
      <c r="A34" s="7"/>
      <c r="B34" s="9"/>
      <c r="C34" s="42"/>
      <c r="J34" s="46"/>
      <c r="M34" s="44"/>
      <c r="Y34" s="47"/>
      <c r="Z34" s="47"/>
      <c r="AA34" s="42"/>
      <c r="AB34" s="6"/>
      <c r="AC34" s="7"/>
    </row>
    <row r="35" spans="1:29" s="43" customFormat="1" x14ac:dyDescent="0.25">
      <c r="A35" s="7"/>
      <c r="B35" s="9"/>
      <c r="C35" s="42"/>
      <c r="J35" s="46"/>
      <c r="M35" s="44"/>
      <c r="Y35" s="47"/>
      <c r="Z35" s="47"/>
      <c r="AA35" s="42"/>
      <c r="AB35" s="6"/>
      <c r="AC35" s="7"/>
    </row>
    <row r="36" spans="1:29" s="43" customFormat="1" x14ac:dyDescent="0.25">
      <c r="A36" s="7"/>
      <c r="B36" s="9"/>
      <c r="C36" s="42"/>
      <c r="J36" s="46"/>
      <c r="M36" s="44"/>
      <c r="Y36" s="47"/>
      <c r="Z36" s="47"/>
      <c r="AA36" s="42"/>
      <c r="AB36" s="6"/>
      <c r="AC36" s="7"/>
    </row>
    <row r="37" spans="1:29" s="43" customFormat="1" x14ac:dyDescent="0.25">
      <c r="A37" s="7"/>
      <c r="B37" s="9"/>
      <c r="C37" s="42"/>
      <c r="J37" s="46"/>
      <c r="M37" s="44"/>
      <c r="Y37" s="47"/>
      <c r="Z37" s="47"/>
      <c r="AA37" s="42"/>
      <c r="AB37" s="6"/>
      <c r="AC37" s="7"/>
    </row>
    <row r="38" spans="1:29" s="43" customFormat="1" x14ac:dyDescent="0.25">
      <c r="A38" s="7"/>
      <c r="B38" s="9"/>
      <c r="C38" s="42"/>
      <c r="J38" s="46"/>
      <c r="M38" s="44"/>
      <c r="Y38" s="47"/>
      <c r="Z38" s="47"/>
      <c r="AA38" s="42"/>
      <c r="AB38" s="6"/>
      <c r="AC38" s="7"/>
    </row>
  </sheetData>
  <autoFilter ref="A4:AC10" xr:uid="{C076F0DB-DD76-4957-B00F-615AEBF20F2D}"/>
  <mergeCells count="4">
    <mergeCell ref="B2:AA2"/>
    <mergeCell ref="N3:S3"/>
    <mergeCell ref="T3:Y3"/>
    <mergeCell ref="B10:X10"/>
  </mergeCells>
  <conditionalFormatting sqref="D1 D3 D5:D1048576">
    <cfRule type="duplicateValues" dxfId="0" priority="1"/>
  </conditionalFormatting>
  <hyperlinks>
    <hyperlink ref="C5" location="'SCT0166'!A1" display="HVDC-ADOPT-SCT-0166" xr:uid="{AC4BA3C1-0775-447C-BCBC-F5109E830028}"/>
    <hyperlink ref="C6" location="'HE0561'!A1" display="HVDC-ADOPT-HE-0561" xr:uid="{150B940B-F788-4DBF-94B1-BAC758FCD1FB}"/>
    <hyperlink ref="C7" location="'HE0557'!A1" display="HVDC-ADOPT-HE-0557" xr:uid="{E64D9CEC-1C60-4BA3-B9AA-4C3D0F596B46}"/>
    <hyperlink ref="C8" location="'HVDC-SIE-SCT-20260428-001'!A1" display="HVDC-SIE-SCT-20260428-001" xr:uid="{5A5CD755-3D61-400B-AA60-9B46771FE121}"/>
  </hyperlinks>
  <pageMargins left="0.7" right="0.7" top="0.75" bottom="0.75" header="0.3" footer="0.3"/>
  <pageSetup paperSize="9" scale="44" orientation="landscape" r:id="rId1"/>
  <headerFooter>
    <oddFooter>&amp;C_x000D_&amp;1#&amp;"Aptos"&amp;10&amp;K000000 DSV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E629-E963-41F4-8FF6-19CE1EC09E8E}">
  <sheetPr>
    <tabColor rgb="FF92D050"/>
  </sheetPr>
  <dimension ref="A1:I29"/>
  <sheetViews>
    <sheetView showGridLines="0" zoomScale="85" zoomScaleNormal="85" zoomScaleSheetLayoutView="85" workbookViewId="0">
      <selection activeCell="AA24" sqref="AA24"/>
    </sheetView>
  </sheetViews>
  <sheetFormatPr defaultRowHeight="15" x14ac:dyDescent="0.25"/>
  <cols>
    <col min="1" max="1" width="7.140625" customWidth="1"/>
    <col min="2" max="2" width="56" bestFit="1" customWidth="1"/>
    <col min="3" max="3" width="7" bestFit="1" customWidth="1"/>
    <col min="4" max="4" width="13.140625" customWidth="1"/>
    <col min="5" max="5" width="11.42578125" bestFit="1" customWidth="1"/>
    <col min="6" max="6" width="11" customWidth="1"/>
    <col min="7" max="7" width="14.42578125" bestFit="1" customWidth="1"/>
    <col min="8" max="8" width="11.5703125" bestFit="1" customWidth="1"/>
    <col min="9" max="9" width="17.5703125" customWidth="1"/>
  </cols>
  <sheetData>
    <row r="1" spans="1:9" x14ac:dyDescent="0.25">
      <c r="A1" s="50"/>
      <c r="B1" s="51"/>
      <c r="C1" s="51"/>
      <c r="D1" s="51"/>
      <c r="E1" s="51"/>
      <c r="F1" s="51"/>
      <c r="G1" s="51"/>
      <c r="H1" s="51"/>
      <c r="I1" s="52"/>
    </row>
    <row r="2" spans="1:9" ht="0.75" customHeight="1" thickBot="1" x14ac:dyDescent="0.3">
      <c r="A2" s="53"/>
      <c r="I2" s="54"/>
    </row>
    <row r="3" spans="1:9" ht="22.5" customHeight="1" x14ac:dyDescent="0.25">
      <c r="A3" s="55"/>
      <c r="B3" s="56"/>
      <c r="C3" s="56"/>
      <c r="D3" s="56"/>
      <c r="E3" s="56"/>
      <c r="F3" s="56"/>
      <c r="G3" s="56"/>
      <c r="H3" s="56"/>
      <c r="I3" s="57"/>
    </row>
    <row r="4" spans="1:9" x14ac:dyDescent="0.25">
      <c r="A4" s="58"/>
      <c r="B4" s="59"/>
      <c r="C4" s="59"/>
      <c r="D4" s="59"/>
      <c r="E4" s="59"/>
      <c r="F4" s="59"/>
      <c r="G4" s="59"/>
      <c r="H4" s="59"/>
      <c r="I4" s="60"/>
    </row>
    <row r="5" spans="1:9" ht="15.75" customHeight="1" x14ac:dyDescent="0.25">
      <c r="A5" s="58"/>
      <c r="B5" s="59"/>
      <c r="C5" s="59"/>
      <c r="D5" s="59"/>
      <c r="E5" s="59"/>
      <c r="F5" s="59"/>
      <c r="G5" s="59"/>
      <c r="H5" s="59"/>
      <c r="I5" s="60"/>
    </row>
    <row r="6" spans="1:9" x14ac:dyDescent="0.25">
      <c r="A6" s="58"/>
      <c r="B6" s="59"/>
      <c r="C6" s="59"/>
      <c r="D6" s="59"/>
      <c r="E6" s="59"/>
      <c r="F6" s="59"/>
      <c r="G6" s="59"/>
      <c r="H6" s="59"/>
      <c r="I6" s="60"/>
    </row>
    <row r="7" spans="1:9" ht="15.75" thickBot="1" x14ac:dyDescent="0.3">
      <c r="A7" s="58"/>
      <c r="B7" s="59"/>
      <c r="C7" s="59"/>
      <c r="D7" s="59"/>
      <c r="E7" s="59"/>
      <c r="F7" s="59"/>
      <c r="G7" s="59"/>
      <c r="H7" s="59"/>
      <c r="I7" s="60"/>
    </row>
    <row r="8" spans="1:9" ht="16.5" thickBot="1" x14ac:dyDescent="0.3">
      <c r="A8" s="61" t="s">
        <v>64</v>
      </c>
      <c r="B8" s="62"/>
      <c r="C8" s="62"/>
      <c r="D8" s="62"/>
      <c r="E8" s="62"/>
      <c r="F8" s="62"/>
      <c r="G8" s="62"/>
      <c r="H8" s="62"/>
      <c r="I8" s="63"/>
    </row>
    <row r="9" spans="1:9" s="68" customFormat="1" ht="15" customHeight="1" x14ac:dyDescent="0.25">
      <c r="A9" s="64" t="s">
        <v>65</v>
      </c>
      <c r="B9" s="65"/>
      <c r="C9" s="65"/>
      <c r="D9" s="65"/>
      <c r="E9" s="65"/>
      <c r="F9" s="65"/>
      <c r="G9" s="66" t="s">
        <v>66</v>
      </c>
      <c r="H9" s="66"/>
      <c r="I9" s="67"/>
    </row>
    <row r="10" spans="1:9" s="68" customFormat="1" ht="13.5" x14ac:dyDescent="0.25">
      <c r="A10" s="69" t="s">
        <v>67</v>
      </c>
      <c r="G10" s="70" t="s">
        <v>68</v>
      </c>
      <c r="H10" s="70"/>
      <c r="I10" s="71"/>
    </row>
    <row r="11" spans="1:9" s="68" customFormat="1" ht="13.5" x14ac:dyDescent="0.25">
      <c r="A11" s="69" t="s">
        <v>69</v>
      </c>
      <c r="G11" s="70" t="s">
        <v>70</v>
      </c>
      <c r="H11" s="70"/>
      <c r="I11" s="71"/>
    </row>
    <row r="12" spans="1:9" s="68" customFormat="1" ht="13.5" x14ac:dyDescent="0.25">
      <c r="A12" s="69" t="s">
        <v>71</v>
      </c>
      <c r="G12" s="70" t="s">
        <v>72</v>
      </c>
      <c r="H12" s="70"/>
      <c r="I12" s="71"/>
    </row>
    <row r="13" spans="1:9" s="68" customFormat="1" ht="13.5" x14ac:dyDescent="0.25">
      <c r="A13" s="69" t="s">
        <v>73</v>
      </c>
      <c r="G13" s="70" t="s">
        <v>74</v>
      </c>
      <c r="H13" s="70"/>
      <c r="I13" s="71"/>
    </row>
    <row r="14" spans="1:9" s="68" customFormat="1" ht="13.5" x14ac:dyDescent="0.25">
      <c r="A14" s="69"/>
      <c r="G14" s="70" t="s">
        <v>75</v>
      </c>
      <c r="H14" s="70"/>
      <c r="I14" s="71"/>
    </row>
    <row r="15" spans="1:9" s="68" customFormat="1" ht="15.75" customHeight="1" thickBot="1" x14ac:dyDescent="0.3">
      <c r="A15" s="72"/>
      <c r="B15" s="73"/>
      <c r="C15" s="73"/>
      <c r="D15" s="73"/>
      <c r="E15" s="73"/>
      <c r="F15" s="73"/>
      <c r="G15" s="74" t="s">
        <v>76</v>
      </c>
      <c r="H15" s="74"/>
      <c r="I15" s="75"/>
    </row>
    <row r="16" spans="1:9" s="68" customFormat="1" ht="14.25" customHeight="1" x14ac:dyDescent="0.25">
      <c r="A16" s="76" t="s">
        <v>77</v>
      </c>
      <c r="B16" s="77"/>
      <c r="C16" s="68" t="str">
        <f>'MAY 2026'!C5</f>
        <v>HVDC-ADOPT-SCT-0166</v>
      </c>
      <c r="F16" s="78"/>
      <c r="G16" s="79" t="s">
        <v>78</v>
      </c>
      <c r="H16" s="80">
        <f ca="1">TODAY()</f>
        <v>46183</v>
      </c>
      <c r="I16" s="81"/>
    </row>
    <row r="17" spans="1:9" s="68" customFormat="1" ht="13.5" x14ac:dyDescent="0.25">
      <c r="A17" s="76" t="s">
        <v>79</v>
      </c>
      <c r="C17" s="68" t="s">
        <v>80</v>
      </c>
      <c r="F17" s="77"/>
      <c r="G17" s="82"/>
      <c r="H17" s="82"/>
      <c r="I17" s="83"/>
    </row>
    <row r="18" spans="1:9" s="68" customFormat="1" ht="13.5" x14ac:dyDescent="0.25">
      <c r="A18" s="76" t="s">
        <v>81</v>
      </c>
      <c r="C18" s="68" t="s">
        <v>82</v>
      </c>
      <c r="F18" s="77"/>
      <c r="G18" s="82"/>
      <c r="H18" s="82"/>
      <c r="I18" s="83"/>
    </row>
    <row r="19" spans="1:9" s="68" customFormat="1" ht="13.5" x14ac:dyDescent="0.25">
      <c r="A19" s="76" t="s">
        <v>83</v>
      </c>
      <c r="C19" s="68" t="s">
        <v>84</v>
      </c>
      <c r="F19" s="77"/>
      <c r="G19" s="82"/>
      <c r="H19" s="82"/>
      <c r="I19" s="83"/>
    </row>
    <row r="20" spans="1:9" s="68" customFormat="1" ht="14.25" customHeight="1" x14ac:dyDescent="0.25">
      <c r="A20" s="84" t="s">
        <v>85</v>
      </c>
      <c r="C20" s="68" t="s">
        <v>86</v>
      </c>
      <c r="F20" s="77"/>
      <c r="G20" s="82"/>
      <c r="H20" s="82"/>
      <c r="I20" s="85"/>
    </row>
    <row r="21" spans="1:9" s="68" customFormat="1" ht="14.25" customHeight="1" thickBot="1" x14ac:dyDescent="0.3">
      <c r="A21" s="84" t="s">
        <v>87</v>
      </c>
      <c r="B21" s="77"/>
      <c r="C21" s="68" t="e">
        <f>'MAY 2026'!#REF!</f>
        <v>#REF!</v>
      </c>
      <c r="F21" s="77"/>
      <c r="G21" s="82"/>
      <c r="H21" s="82"/>
      <c r="I21" s="83"/>
    </row>
    <row r="22" spans="1:9" s="68" customFormat="1" ht="40.5" x14ac:dyDescent="0.25">
      <c r="A22" s="86" t="s">
        <v>88</v>
      </c>
      <c r="B22" s="87"/>
      <c r="C22" s="88" t="s">
        <v>89</v>
      </c>
      <c r="D22" s="89" t="s">
        <v>90</v>
      </c>
      <c r="E22" s="90" t="s">
        <v>91</v>
      </c>
      <c r="F22" s="90" t="s">
        <v>92</v>
      </c>
      <c r="G22" s="89" t="s">
        <v>93</v>
      </c>
      <c r="H22" s="89" t="s">
        <v>94</v>
      </c>
      <c r="I22" s="91" t="s">
        <v>95</v>
      </c>
    </row>
    <row r="23" spans="1:9" s="68" customFormat="1" ht="13.5" x14ac:dyDescent="0.25">
      <c r="A23" s="92">
        <v>1</v>
      </c>
      <c r="B23" s="93" t="s">
        <v>96</v>
      </c>
      <c r="C23" s="94">
        <v>1</v>
      </c>
      <c r="D23" s="94" t="s">
        <v>97</v>
      </c>
      <c r="E23" s="95">
        <v>7200</v>
      </c>
      <c r="F23" s="96">
        <f>E23*3.6725</f>
        <v>26442</v>
      </c>
      <c r="G23" s="97">
        <f t="shared" ref="G23:G24" si="0">C23*F23</f>
        <v>26442</v>
      </c>
      <c r="H23" s="98">
        <f t="shared" ref="H23:I24" si="1">F23/3.6725</f>
        <v>7200</v>
      </c>
      <c r="I23" s="99">
        <f t="shared" si="1"/>
        <v>7200</v>
      </c>
    </row>
    <row r="24" spans="1:9" s="68" customFormat="1" ht="13.5" x14ac:dyDescent="0.25">
      <c r="A24" s="92">
        <v>2</v>
      </c>
      <c r="B24" s="93" t="s">
        <v>98</v>
      </c>
      <c r="C24" s="94">
        <v>1</v>
      </c>
      <c r="D24" s="94" t="s">
        <v>99</v>
      </c>
      <c r="E24" s="95">
        <f>E23*10%</f>
        <v>720</v>
      </c>
      <c r="F24" s="96">
        <f>E24*3.6725</f>
        <v>2644.2</v>
      </c>
      <c r="G24" s="97">
        <f t="shared" si="0"/>
        <v>2644.2</v>
      </c>
      <c r="H24" s="98">
        <f t="shared" si="1"/>
        <v>720</v>
      </c>
      <c r="I24" s="99">
        <f t="shared" si="1"/>
        <v>720</v>
      </c>
    </row>
    <row r="25" spans="1:9" s="68" customFormat="1" ht="14.25" thickBot="1" x14ac:dyDescent="0.3">
      <c r="A25" s="100" t="s">
        <v>100</v>
      </c>
      <c r="B25" s="101"/>
      <c r="C25" s="101"/>
      <c r="D25" s="101"/>
      <c r="E25" s="101"/>
      <c r="F25" s="102"/>
      <c r="G25" s="103">
        <f>SUM(G23:G24)</f>
        <v>29086.2</v>
      </c>
      <c r="H25" s="104">
        <f>SUM(H23:H24)</f>
        <v>7920</v>
      </c>
      <c r="I25" s="105">
        <f>SUM(I23:I24)</f>
        <v>7920</v>
      </c>
    </row>
    <row r="26" spans="1:9" s="68" customFormat="1" ht="14.25" thickBot="1" x14ac:dyDescent="0.3">
      <c r="A26" s="106" t="s">
        <v>101</v>
      </c>
      <c r="B26" s="107"/>
      <c r="C26" s="108">
        <v>3.6724999999999999</v>
      </c>
      <c r="D26" s="109"/>
      <c r="E26" s="110"/>
      <c r="F26" s="111"/>
      <c r="G26" s="111"/>
      <c r="H26" s="112"/>
      <c r="I26" s="113"/>
    </row>
    <row r="27" spans="1:9" s="68" customFormat="1" ht="13.5" x14ac:dyDescent="0.25">
      <c r="A27" s="69" t="s">
        <v>102</v>
      </c>
      <c r="I27" s="114"/>
    </row>
    <row r="28" spans="1:9" s="68" customFormat="1" ht="14.25" thickBot="1" x14ac:dyDescent="0.3">
      <c r="A28" s="72" t="s">
        <v>103</v>
      </c>
      <c r="B28" s="115">
        <f ca="1">TODAY()</f>
        <v>46183</v>
      </c>
      <c r="C28" s="73"/>
      <c r="D28" s="73"/>
      <c r="E28" s="73"/>
      <c r="F28" s="73"/>
      <c r="G28" s="73"/>
      <c r="H28" s="73"/>
      <c r="I28" s="116"/>
    </row>
    <row r="29" spans="1:9" x14ac:dyDescent="0.25">
      <c r="I29" s="117"/>
    </row>
  </sheetData>
  <mergeCells count="9">
    <mergeCell ref="G14:I14"/>
    <mergeCell ref="G15:I15"/>
    <mergeCell ref="A25:F25"/>
    <mergeCell ref="A8:I8"/>
    <mergeCell ref="G9:I9"/>
    <mergeCell ref="G10:I10"/>
    <mergeCell ref="G11:I11"/>
    <mergeCell ref="G12:I12"/>
    <mergeCell ref="G13:I13"/>
  </mergeCells>
  <pageMargins left="0.7" right="0.7" top="0.75" bottom="0.75" header="0.3" footer="0.3"/>
  <pageSetup paperSize="9" scale="59" orientation="landscape" r:id="rId1"/>
  <headerFooter>
    <oddFooter>&amp;C_x000D_&amp;1#&amp;"Aptos"&amp;10&amp;K000000 DSV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11AF-4472-435F-AD0E-17D22CCFB133}">
  <sheetPr>
    <tabColor rgb="FF92D050"/>
  </sheetPr>
  <dimension ref="A1:I33"/>
  <sheetViews>
    <sheetView showGridLines="0" zoomScale="85" zoomScaleNormal="85" zoomScaleSheetLayoutView="85" workbookViewId="0">
      <selection activeCell="AA24" sqref="AA24"/>
    </sheetView>
  </sheetViews>
  <sheetFormatPr defaultRowHeight="15" x14ac:dyDescent="0.25"/>
  <cols>
    <col min="1" max="1" width="7.140625" customWidth="1"/>
    <col min="2" max="2" width="56" bestFit="1" customWidth="1"/>
    <col min="3" max="3" width="7" bestFit="1" customWidth="1"/>
    <col min="4" max="4" width="13.140625" customWidth="1"/>
    <col min="5" max="5" width="11.42578125" bestFit="1" customWidth="1"/>
    <col min="6" max="6" width="11" customWidth="1"/>
    <col min="7" max="7" width="14.42578125" bestFit="1" customWidth="1"/>
    <col min="8" max="8" width="11.5703125" bestFit="1" customWidth="1"/>
    <col min="9" max="9" width="17.5703125" customWidth="1"/>
  </cols>
  <sheetData>
    <row r="1" spans="1:9" x14ac:dyDescent="0.25">
      <c r="A1" s="50"/>
      <c r="B1" s="51"/>
      <c r="C1" s="51"/>
      <c r="D1" s="51"/>
      <c r="E1" s="51"/>
      <c r="F1" s="51"/>
      <c r="G1" s="51"/>
      <c r="H1" s="51"/>
      <c r="I1" s="52"/>
    </row>
    <row r="2" spans="1:9" ht="0.75" customHeight="1" thickBot="1" x14ac:dyDescent="0.3">
      <c r="A2" s="53"/>
      <c r="I2" s="54"/>
    </row>
    <row r="3" spans="1:9" ht="22.5" customHeight="1" x14ac:dyDescent="0.25">
      <c r="A3" s="55"/>
      <c r="B3" s="56"/>
      <c r="C3" s="56"/>
      <c r="D3" s="56"/>
      <c r="E3" s="56"/>
      <c r="F3" s="56"/>
      <c r="G3" s="56"/>
      <c r="H3" s="56"/>
      <c r="I3" s="57"/>
    </row>
    <row r="4" spans="1:9" x14ac:dyDescent="0.25">
      <c r="A4" s="58"/>
      <c r="B4" s="59"/>
      <c r="C4" s="59"/>
      <c r="D4" s="59"/>
      <c r="E4" s="59"/>
      <c r="F4" s="59"/>
      <c r="G4" s="59"/>
      <c r="H4" s="59"/>
      <c r="I4" s="60"/>
    </row>
    <row r="5" spans="1:9" ht="15.75" customHeight="1" x14ac:dyDescent="0.25">
      <c r="A5" s="58"/>
      <c r="B5" s="59"/>
      <c r="C5" s="59"/>
      <c r="D5" s="59"/>
      <c r="E5" s="59"/>
      <c r="F5" s="59"/>
      <c r="G5" s="59"/>
      <c r="H5" s="59"/>
      <c r="I5" s="60"/>
    </row>
    <row r="6" spans="1:9" x14ac:dyDescent="0.25">
      <c r="A6" s="58"/>
      <c r="B6" s="59"/>
      <c r="C6" s="59"/>
      <c r="D6" s="59"/>
      <c r="E6" s="59"/>
      <c r="F6" s="59"/>
      <c r="G6" s="59"/>
      <c r="H6" s="59"/>
      <c r="I6" s="60"/>
    </row>
    <row r="7" spans="1:9" ht="15.75" thickBot="1" x14ac:dyDescent="0.3">
      <c r="A7" s="58"/>
      <c r="B7" s="59"/>
      <c r="C7" s="59"/>
      <c r="D7" s="59"/>
      <c r="E7" s="59"/>
      <c r="F7" s="59"/>
      <c r="G7" s="59"/>
      <c r="H7" s="59"/>
      <c r="I7" s="60"/>
    </row>
    <row r="8" spans="1:9" ht="16.5" thickBot="1" x14ac:dyDescent="0.3">
      <c r="A8" s="61" t="s">
        <v>64</v>
      </c>
      <c r="B8" s="62"/>
      <c r="C8" s="62"/>
      <c r="D8" s="62"/>
      <c r="E8" s="62"/>
      <c r="F8" s="62"/>
      <c r="G8" s="62"/>
      <c r="H8" s="62"/>
      <c r="I8" s="63"/>
    </row>
    <row r="9" spans="1:9" s="68" customFormat="1" ht="15" customHeight="1" x14ac:dyDescent="0.25">
      <c r="A9" s="64" t="s">
        <v>65</v>
      </c>
      <c r="B9" s="65"/>
      <c r="C9" s="65"/>
      <c r="D9" s="65"/>
      <c r="E9" s="65"/>
      <c r="F9" s="65"/>
      <c r="G9" s="66" t="s">
        <v>66</v>
      </c>
      <c r="H9" s="66"/>
      <c r="I9" s="67"/>
    </row>
    <row r="10" spans="1:9" s="68" customFormat="1" ht="13.5" x14ac:dyDescent="0.25">
      <c r="A10" s="69" t="s">
        <v>67</v>
      </c>
      <c r="G10" s="70" t="s">
        <v>68</v>
      </c>
      <c r="H10" s="70"/>
      <c r="I10" s="71"/>
    </row>
    <row r="11" spans="1:9" s="68" customFormat="1" ht="13.5" x14ac:dyDescent="0.25">
      <c r="A11" s="69" t="s">
        <v>69</v>
      </c>
      <c r="G11" s="70" t="s">
        <v>70</v>
      </c>
      <c r="H11" s="70"/>
      <c r="I11" s="71"/>
    </row>
    <row r="12" spans="1:9" s="68" customFormat="1" ht="13.5" x14ac:dyDescent="0.25">
      <c r="A12" s="69" t="s">
        <v>71</v>
      </c>
      <c r="G12" s="70" t="s">
        <v>72</v>
      </c>
      <c r="H12" s="70"/>
      <c r="I12" s="71"/>
    </row>
    <row r="13" spans="1:9" s="68" customFormat="1" ht="13.5" x14ac:dyDescent="0.25">
      <c r="A13" s="69" t="s">
        <v>73</v>
      </c>
      <c r="G13" s="70" t="s">
        <v>74</v>
      </c>
      <c r="H13" s="70"/>
      <c r="I13" s="71"/>
    </row>
    <row r="14" spans="1:9" s="68" customFormat="1" ht="13.5" x14ac:dyDescent="0.25">
      <c r="A14" s="69"/>
      <c r="G14" s="70" t="s">
        <v>75</v>
      </c>
      <c r="H14" s="70"/>
      <c r="I14" s="71"/>
    </row>
    <row r="15" spans="1:9" s="68" customFormat="1" ht="15.75" customHeight="1" thickBot="1" x14ac:dyDescent="0.3">
      <c r="A15" s="72"/>
      <c r="B15" s="73"/>
      <c r="C15" s="73"/>
      <c r="D15" s="73"/>
      <c r="E15" s="73"/>
      <c r="F15" s="73"/>
      <c r="G15" s="74" t="s">
        <v>76</v>
      </c>
      <c r="H15" s="74"/>
      <c r="I15" s="75"/>
    </row>
    <row r="16" spans="1:9" s="68" customFormat="1" ht="14.25" customHeight="1" x14ac:dyDescent="0.25">
      <c r="A16" s="76" t="s">
        <v>77</v>
      </c>
      <c r="B16" s="77"/>
      <c r="C16" s="68" t="s">
        <v>41</v>
      </c>
      <c r="F16" s="78"/>
      <c r="G16" s="79" t="s">
        <v>78</v>
      </c>
      <c r="H16" s="80">
        <v>46098</v>
      </c>
      <c r="I16" s="81"/>
    </row>
    <row r="17" spans="1:9" s="68" customFormat="1" ht="13.5" x14ac:dyDescent="0.25">
      <c r="A17" s="76" t="s">
        <v>79</v>
      </c>
      <c r="C17" s="68" t="s">
        <v>104</v>
      </c>
      <c r="F17" s="77"/>
      <c r="G17" s="82"/>
      <c r="H17" s="82"/>
      <c r="I17" s="83"/>
    </row>
    <row r="18" spans="1:9" s="68" customFormat="1" ht="13.5" x14ac:dyDescent="0.25">
      <c r="A18" s="76" t="s">
        <v>81</v>
      </c>
      <c r="C18" s="68" t="s">
        <v>105</v>
      </c>
      <c r="F18" s="77"/>
      <c r="G18" s="82"/>
      <c r="H18" s="82"/>
      <c r="I18" s="83"/>
    </row>
    <row r="19" spans="1:9" s="68" customFormat="1" ht="13.5" x14ac:dyDescent="0.25">
      <c r="A19" s="76" t="s">
        <v>83</v>
      </c>
      <c r="C19" s="68" t="s">
        <v>105</v>
      </c>
      <c r="F19" s="77"/>
      <c r="G19" s="82"/>
      <c r="H19" s="82"/>
      <c r="I19" s="83"/>
    </row>
    <row r="20" spans="1:9" s="68" customFormat="1" ht="14.25" customHeight="1" x14ac:dyDescent="0.25">
      <c r="A20" s="84" t="s">
        <v>85</v>
      </c>
      <c r="C20" s="68" t="s">
        <v>106</v>
      </c>
      <c r="F20" s="77"/>
      <c r="G20" s="82"/>
      <c r="H20" s="82"/>
      <c r="I20" s="85"/>
    </row>
    <row r="21" spans="1:9" s="68" customFormat="1" ht="14.25" customHeight="1" thickBot="1" x14ac:dyDescent="0.3">
      <c r="A21" s="84" t="s">
        <v>87</v>
      </c>
      <c r="B21" s="77"/>
      <c r="C21" s="68" t="s">
        <v>107</v>
      </c>
      <c r="F21" s="77"/>
      <c r="G21" s="82"/>
      <c r="H21" s="82"/>
      <c r="I21" s="83"/>
    </row>
    <row r="22" spans="1:9" s="68" customFormat="1" ht="40.5" x14ac:dyDescent="0.25">
      <c r="A22" s="86" t="s">
        <v>88</v>
      </c>
      <c r="B22" s="87"/>
      <c r="C22" s="88" t="s">
        <v>89</v>
      </c>
      <c r="D22" s="89" t="s">
        <v>90</v>
      </c>
      <c r="E22" s="89" t="s">
        <v>91</v>
      </c>
      <c r="F22" s="89" t="s">
        <v>92</v>
      </c>
      <c r="G22" s="89" t="s">
        <v>93</v>
      </c>
      <c r="H22" s="89" t="s">
        <v>94</v>
      </c>
      <c r="I22" s="91" t="s">
        <v>95</v>
      </c>
    </row>
    <row r="23" spans="1:9" s="68" customFormat="1" ht="13.5" x14ac:dyDescent="0.25">
      <c r="A23" s="92">
        <v>1</v>
      </c>
      <c r="B23" s="93" t="s">
        <v>108</v>
      </c>
      <c r="C23" s="94">
        <v>1</v>
      </c>
      <c r="D23" s="94" t="s">
        <v>109</v>
      </c>
      <c r="E23" s="118">
        <v>80</v>
      </c>
      <c r="F23" s="119">
        <f t="shared" ref="F23:F24" si="0">E23*3.6725</f>
        <v>293.8</v>
      </c>
      <c r="G23" s="97">
        <f>C23*F23</f>
        <v>293.8</v>
      </c>
      <c r="H23" s="98">
        <f t="shared" ref="H23:I28" si="1">F23/3.6725</f>
        <v>80</v>
      </c>
      <c r="I23" s="99">
        <f t="shared" si="1"/>
        <v>80</v>
      </c>
    </row>
    <row r="24" spans="1:9" s="68" customFormat="1" ht="13.5" x14ac:dyDescent="0.25">
      <c r="A24" s="92">
        <v>2</v>
      </c>
      <c r="B24" s="93" t="s">
        <v>110</v>
      </c>
      <c r="C24" s="94">
        <v>1</v>
      </c>
      <c r="D24" s="94" t="s">
        <v>109</v>
      </c>
      <c r="E24" s="118">
        <v>150</v>
      </c>
      <c r="F24" s="119">
        <f t="shared" si="0"/>
        <v>550.875</v>
      </c>
      <c r="G24" s="97">
        <f t="shared" ref="G24:G28" si="2">C24*F24</f>
        <v>550.875</v>
      </c>
      <c r="H24" s="98">
        <f t="shared" si="1"/>
        <v>150</v>
      </c>
      <c r="I24" s="99">
        <f t="shared" si="1"/>
        <v>150</v>
      </c>
    </row>
    <row r="25" spans="1:9" s="68" customFormat="1" ht="13.5" x14ac:dyDescent="0.25">
      <c r="A25" s="92">
        <v>3</v>
      </c>
      <c r="B25" s="93" t="s">
        <v>111</v>
      </c>
      <c r="C25" s="94">
        <v>1</v>
      </c>
      <c r="D25" s="94" t="s">
        <v>109</v>
      </c>
      <c r="E25" s="95">
        <v>125</v>
      </c>
      <c r="F25" s="119">
        <f>E25*3.6725</f>
        <v>459.0625</v>
      </c>
      <c r="G25" s="97">
        <f t="shared" si="2"/>
        <v>459.0625</v>
      </c>
      <c r="H25" s="98">
        <f>F25/3.6725*C25</f>
        <v>125</v>
      </c>
      <c r="I25" s="99">
        <f t="shared" si="1"/>
        <v>125</v>
      </c>
    </row>
    <row r="26" spans="1:9" s="68" customFormat="1" ht="13.5" x14ac:dyDescent="0.25">
      <c r="A26" s="120">
        <v>4</v>
      </c>
      <c r="B26" s="93" t="s">
        <v>112</v>
      </c>
      <c r="C26" s="94">
        <v>1</v>
      </c>
      <c r="D26" s="94" t="s">
        <v>97</v>
      </c>
      <c r="E26" s="95">
        <f>F26/3.6725</f>
        <v>5207.1341048332206</v>
      </c>
      <c r="F26" s="119">
        <v>19123.2</v>
      </c>
      <c r="G26" s="97">
        <f t="shared" si="2"/>
        <v>19123.2</v>
      </c>
      <c r="H26" s="98">
        <f t="shared" si="1"/>
        <v>5207.1341048332206</v>
      </c>
      <c r="I26" s="99">
        <f t="shared" si="1"/>
        <v>5207.1341048332206</v>
      </c>
    </row>
    <row r="27" spans="1:9" s="68" customFormat="1" ht="13.5" x14ac:dyDescent="0.25">
      <c r="A27" s="120">
        <v>5</v>
      </c>
      <c r="B27" s="121" t="s">
        <v>113</v>
      </c>
      <c r="C27" s="94">
        <v>1</v>
      </c>
      <c r="D27" s="94" t="s">
        <v>97</v>
      </c>
      <c r="E27" s="95">
        <v>27</v>
      </c>
      <c r="F27" s="96">
        <v>27</v>
      </c>
      <c r="G27" s="97">
        <f t="shared" si="2"/>
        <v>27</v>
      </c>
      <c r="H27" s="98">
        <f t="shared" si="1"/>
        <v>7.3519400953029272</v>
      </c>
      <c r="I27" s="99">
        <f t="shared" si="1"/>
        <v>7.3519400953029272</v>
      </c>
    </row>
    <row r="28" spans="1:9" s="68" customFormat="1" ht="13.5" x14ac:dyDescent="0.25">
      <c r="A28" s="92">
        <v>6</v>
      </c>
      <c r="B28" s="93" t="s">
        <v>114</v>
      </c>
      <c r="C28" s="94">
        <v>1</v>
      </c>
      <c r="D28" s="94" t="s">
        <v>97</v>
      </c>
      <c r="E28" s="95">
        <v>35</v>
      </c>
      <c r="F28" s="96">
        <v>35</v>
      </c>
      <c r="G28" s="97">
        <f t="shared" si="2"/>
        <v>35</v>
      </c>
      <c r="H28" s="98">
        <f t="shared" si="1"/>
        <v>9.5302927161334239</v>
      </c>
      <c r="I28" s="99">
        <f t="shared" si="1"/>
        <v>9.5302927161334239</v>
      </c>
    </row>
    <row r="29" spans="1:9" s="68" customFormat="1" ht="14.25" thickBot="1" x14ac:dyDescent="0.3">
      <c r="A29" s="100" t="s">
        <v>100</v>
      </c>
      <c r="B29" s="101"/>
      <c r="C29" s="101"/>
      <c r="D29" s="101"/>
      <c r="E29" s="101"/>
      <c r="F29" s="102"/>
      <c r="G29" s="103">
        <f>SUM(G23:G28)</f>
        <v>20488.9375</v>
      </c>
      <c r="H29" s="104">
        <f>SUM(H23:H28)</f>
        <v>5579.0163376446571</v>
      </c>
      <c r="I29" s="105">
        <f>SUM(I23:I28)</f>
        <v>5579.0163376446571</v>
      </c>
    </row>
    <row r="30" spans="1:9" s="68" customFormat="1" ht="14.25" thickBot="1" x14ac:dyDescent="0.3">
      <c r="A30" s="106" t="s">
        <v>101</v>
      </c>
      <c r="B30" s="107"/>
      <c r="C30" s="108">
        <v>3.6724999999999999</v>
      </c>
      <c r="D30" s="109"/>
      <c r="E30" s="110"/>
      <c r="F30" s="111"/>
      <c r="G30" s="111"/>
      <c r="H30" s="112"/>
      <c r="I30" s="113"/>
    </row>
    <row r="31" spans="1:9" s="68" customFormat="1" ht="13.5" x14ac:dyDescent="0.25">
      <c r="A31" s="69" t="s">
        <v>102</v>
      </c>
      <c r="I31" s="114"/>
    </row>
    <row r="32" spans="1:9" s="68" customFormat="1" ht="14.25" thickBot="1" x14ac:dyDescent="0.3">
      <c r="A32" s="72" t="s">
        <v>103</v>
      </c>
      <c r="B32" s="115">
        <f ca="1">TODAY()</f>
        <v>46183</v>
      </c>
      <c r="C32" s="73"/>
      <c r="D32" s="73"/>
      <c r="E32" s="73"/>
      <c r="F32" s="73"/>
      <c r="G32" s="73"/>
      <c r="H32" s="73"/>
      <c r="I32" s="116"/>
    </row>
    <row r="33" spans="9:9" x14ac:dyDescent="0.25">
      <c r="I33" s="117"/>
    </row>
  </sheetData>
  <mergeCells count="9">
    <mergeCell ref="G14:I14"/>
    <mergeCell ref="G15:I15"/>
    <mergeCell ref="A29:F29"/>
    <mergeCell ref="A8:I8"/>
    <mergeCell ref="G9:I9"/>
    <mergeCell ref="G10:I10"/>
    <mergeCell ref="G11:I11"/>
    <mergeCell ref="G12:I12"/>
    <mergeCell ref="G13:I13"/>
  </mergeCells>
  <pageMargins left="0.7" right="0.7" top="0.75" bottom="0.75" header="0.3" footer="0.3"/>
  <pageSetup paperSize="9" scale="59" orientation="landscape" r:id="rId1"/>
  <headerFooter>
    <oddFooter>&amp;C_x000D_&amp;1#&amp;"Aptos"&amp;10&amp;K000000 DSV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9F43-52F3-428B-83CD-4C795FEE336D}">
  <sheetPr>
    <tabColor rgb="FF92D050"/>
  </sheetPr>
  <dimension ref="A1:I29"/>
  <sheetViews>
    <sheetView showGridLines="0" zoomScale="85" zoomScaleNormal="85" zoomScaleSheetLayoutView="85" workbookViewId="0">
      <selection activeCell="AA24" sqref="AA24"/>
    </sheetView>
  </sheetViews>
  <sheetFormatPr defaultRowHeight="15" x14ac:dyDescent="0.25"/>
  <cols>
    <col min="1" max="1" width="7.140625" customWidth="1"/>
    <col min="2" max="2" width="56" bestFit="1" customWidth="1"/>
    <col min="3" max="3" width="7" bestFit="1" customWidth="1"/>
    <col min="4" max="4" width="13.140625" customWidth="1"/>
    <col min="5" max="5" width="11.42578125" bestFit="1" customWidth="1"/>
    <col min="6" max="6" width="11" customWidth="1"/>
    <col min="7" max="7" width="14.42578125" bestFit="1" customWidth="1"/>
    <col min="8" max="8" width="11.5703125" bestFit="1" customWidth="1"/>
    <col min="9" max="9" width="17.5703125" customWidth="1"/>
  </cols>
  <sheetData>
    <row r="1" spans="1:9" x14ac:dyDescent="0.25">
      <c r="A1" s="50"/>
      <c r="B1" s="51"/>
      <c r="C1" s="51"/>
      <c r="D1" s="51"/>
      <c r="E1" s="51"/>
      <c r="F1" s="51"/>
      <c r="G1" s="51"/>
      <c r="H1" s="51"/>
      <c r="I1" s="52"/>
    </row>
    <row r="2" spans="1:9" ht="0.75" customHeight="1" thickBot="1" x14ac:dyDescent="0.3">
      <c r="A2" s="53"/>
      <c r="I2" s="54"/>
    </row>
    <row r="3" spans="1:9" ht="22.5" customHeight="1" x14ac:dyDescent="0.25">
      <c r="A3" s="55"/>
      <c r="B3" s="56"/>
      <c r="C3" s="56"/>
      <c r="D3" s="56"/>
      <c r="E3" s="56"/>
      <c r="F3" s="56"/>
      <c r="G3" s="56"/>
      <c r="H3" s="56"/>
      <c r="I3" s="57"/>
    </row>
    <row r="4" spans="1:9" x14ac:dyDescent="0.25">
      <c r="A4" s="58"/>
      <c r="B4" s="59"/>
      <c r="C4" s="59"/>
      <c r="D4" s="59"/>
      <c r="E4" s="59"/>
      <c r="F4" s="59"/>
      <c r="G4" s="59"/>
      <c r="H4" s="59"/>
      <c r="I4" s="60"/>
    </row>
    <row r="5" spans="1:9" ht="15.75" customHeight="1" x14ac:dyDescent="0.25">
      <c r="A5" s="58"/>
      <c r="B5" s="59"/>
      <c r="C5" s="59"/>
      <c r="D5" s="59"/>
      <c r="E5" s="59"/>
      <c r="F5" s="59"/>
      <c r="G5" s="59"/>
      <c r="H5" s="59"/>
      <c r="I5" s="60"/>
    </row>
    <row r="6" spans="1:9" x14ac:dyDescent="0.25">
      <c r="A6" s="58"/>
      <c r="B6" s="59"/>
      <c r="C6" s="59"/>
      <c r="D6" s="59"/>
      <c r="E6" s="59"/>
      <c r="F6" s="59"/>
      <c r="G6" s="59"/>
      <c r="H6" s="59"/>
      <c r="I6" s="60"/>
    </row>
    <row r="7" spans="1:9" ht="15.75" thickBot="1" x14ac:dyDescent="0.3">
      <c r="A7" s="58"/>
      <c r="B7" s="59"/>
      <c r="C7" s="59"/>
      <c r="D7" s="59"/>
      <c r="E7" s="59"/>
      <c r="F7" s="59"/>
      <c r="G7" s="59"/>
      <c r="H7" s="59"/>
      <c r="I7" s="60"/>
    </row>
    <row r="8" spans="1:9" ht="16.5" thickBot="1" x14ac:dyDescent="0.3">
      <c r="A8" s="61" t="s">
        <v>64</v>
      </c>
      <c r="B8" s="62"/>
      <c r="C8" s="62"/>
      <c r="D8" s="62"/>
      <c r="E8" s="62"/>
      <c r="F8" s="62"/>
      <c r="G8" s="62"/>
      <c r="H8" s="62"/>
      <c r="I8" s="63"/>
    </row>
    <row r="9" spans="1:9" s="68" customFormat="1" ht="15" customHeight="1" x14ac:dyDescent="0.25">
      <c r="A9" s="64" t="s">
        <v>65</v>
      </c>
      <c r="B9" s="65"/>
      <c r="C9" s="65"/>
      <c r="D9" s="65"/>
      <c r="E9" s="65"/>
      <c r="F9" s="65"/>
      <c r="G9" s="66" t="s">
        <v>66</v>
      </c>
      <c r="H9" s="66"/>
      <c r="I9" s="67"/>
    </row>
    <row r="10" spans="1:9" s="68" customFormat="1" ht="13.5" x14ac:dyDescent="0.25">
      <c r="A10" s="69" t="s">
        <v>67</v>
      </c>
      <c r="G10" s="70" t="s">
        <v>68</v>
      </c>
      <c r="H10" s="70"/>
      <c r="I10" s="71"/>
    </row>
    <row r="11" spans="1:9" s="68" customFormat="1" ht="13.5" x14ac:dyDescent="0.25">
      <c r="A11" s="69" t="s">
        <v>69</v>
      </c>
      <c r="G11" s="70" t="s">
        <v>70</v>
      </c>
      <c r="H11" s="70"/>
      <c r="I11" s="71"/>
    </row>
    <row r="12" spans="1:9" s="68" customFormat="1" ht="13.5" x14ac:dyDescent="0.25">
      <c r="A12" s="69" t="s">
        <v>71</v>
      </c>
      <c r="G12" s="70" t="s">
        <v>72</v>
      </c>
      <c r="H12" s="70"/>
      <c r="I12" s="71"/>
    </row>
    <row r="13" spans="1:9" s="68" customFormat="1" ht="13.5" x14ac:dyDescent="0.25">
      <c r="A13" s="69" t="s">
        <v>73</v>
      </c>
      <c r="G13" s="70" t="s">
        <v>74</v>
      </c>
      <c r="H13" s="70"/>
      <c r="I13" s="71"/>
    </row>
    <row r="14" spans="1:9" s="68" customFormat="1" ht="13.5" x14ac:dyDescent="0.25">
      <c r="A14" s="69"/>
      <c r="G14" s="70" t="s">
        <v>75</v>
      </c>
      <c r="H14" s="70"/>
      <c r="I14" s="71"/>
    </row>
    <row r="15" spans="1:9" s="68" customFormat="1" ht="15.75" customHeight="1" thickBot="1" x14ac:dyDescent="0.3">
      <c r="A15" s="72"/>
      <c r="B15" s="73"/>
      <c r="C15" s="73"/>
      <c r="D15" s="73"/>
      <c r="E15" s="73"/>
      <c r="F15" s="73"/>
      <c r="G15" s="74" t="s">
        <v>76</v>
      </c>
      <c r="H15" s="74"/>
      <c r="I15" s="75"/>
    </row>
    <row r="16" spans="1:9" s="68" customFormat="1" ht="14.25" customHeight="1" x14ac:dyDescent="0.25">
      <c r="A16" s="76" t="s">
        <v>77</v>
      </c>
      <c r="B16" s="77"/>
      <c r="C16" s="68" t="str">
        <f>'MAY 2026'!C7</f>
        <v>HVDC-ADOPT-HE-0557</v>
      </c>
      <c r="F16" s="78"/>
      <c r="G16" s="79" t="s">
        <v>78</v>
      </c>
      <c r="H16" s="80" t="s">
        <v>28</v>
      </c>
      <c r="I16" s="81"/>
    </row>
    <row r="17" spans="1:9" s="68" customFormat="1" ht="13.5" x14ac:dyDescent="0.25">
      <c r="A17" s="76" t="s">
        <v>79</v>
      </c>
      <c r="C17" s="68" t="s">
        <v>115</v>
      </c>
      <c r="F17" s="77"/>
      <c r="G17" s="82"/>
      <c r="H17" s="82"/>
      <c r="I17" s="83"/>
    </row>
    <row r="18" spans="1:9" s="68" customFormat="1" ht="13.5" x14ac:dyDescent="0.25">
      <c r="A18" s="76" t="s">
        <v>81</v>
      </c>
      <c r="C18" s="68" t="s">
        <v>52</v>
      </c>
      <c r="F18" s="77"/>
      <c r="G18" s="82"/>
      <c r="H18" s="82"/>
      <c r="I18" s="83"/>
    </row>
    <row r="19" spans="1:9" s="68" customFormat="1" ht="13.5" x14ac:dyDescent="0.25">
      <c r="A19" s="76" t="s">
        <v>83</v>
      </c>
      <c r="C19" s="68" t="s">
        <v>115</v>
      </c>
      <c r="F19" s="77"/>
      <c r="G19" s="82"/>
      <c r="H19" s="82"/>
      <c r="I19" s="83"/>
    </row>
    <row r="20" spans="1:9" s="68" customFormat="1" ht="14.25" customHeight="1" x14ac:dyDescent="0.25">
      <c r="A20" s="84" t="s">
        <v>85</v>
      </c>
      <c r="C20" s="68" t="s">
        <v>116</v>
      </c>
      <c r="F20" s="77"/>
      <c r="G20" s="82"/>
      <c r="H20" s="82"/>
      <c r="I20" s="85"/>
    </row>
    <row r="21" spans="1:9" s="68" customFormat="1" ht="14.25" customHeight="1" thickBot="1" x14ac:dyDescent="0.3">
      <c r="A21" s="84" t="s">
        <v>87</v>
      </c>
      <c r="B21" s="77"/>
      <c r="C21" s="68" t="s">
        <v>51</v>
      </c>
      <c r="F21" s="77"/>
      <c r="G21" s="82"/>
      <c r="H21" s="82"/>
      <c r="I21" s="83"/>
    </row>
    <row r="22" spans="1:9" s="68" customFormat="1" ht="40.5" x14ac:dyDescent="0.25">
      <c r="A22" s="86" t="s">
        <v>88</v>
      </c>
      <c r="B22" s="87"/>
      <c r="C22" s="88" t="s">
        <v>89</v>
      </c>
      <c r="D22" s="89" t="s">
        <v>90</v>
      </c>
      <c r="E22" s="89" t="s">
        <v>91</v>
      </c>
      <c r="F22" s="89" t="s">
        <v>92</v>
      </c>
      <c r="G22" s="89" t="s">
        <v>93</v>
      </c>
      <c r="H22" s="89" t="s">
        <v>94</v>
      </c>
      <c r="I22" s="91" t="s">
        <v>95</v>
      </c>
    </row>
    <row r="23" spans="1:9" s="68" customFormat="1" ht="13.5" x14ac:dyDescent="0.25">
      <c r="A23" s="92">
        <v>1</v>
      </c>
      <c r="B23" s="93" t="s">
        <v>108</v>
      </c>
      <c r="C23" s="94">
        <v>1</v>
      </c>
      <c r="D23" s="94" t="s">
        <v>109</v>
      </c>
      <c r="E23" s="118">
        <v>150</v>
      </c>
      <c r="F23" s="119">
        <f t="shared" ref="F23:F24" si="0">E23*3.6725</f>
        <v>550.875</v>
      </c>
      <c r="G23" s="97">
        <f>C23*F23</f>
        <v>550.875</v>
      </c>
      <c r="H23" s="98">
        <f t="shared" ref="H23:I24" si="1">F23/3.6725</f>
        <v>150</v>
      </c>
      <c r="I23" s="99">
        <f t="shared" si="1"/>
        <v>150</v>
      </c>
    </row>
    <row r="24" spans="1:9" s="68" customFormat="1" ht="13.5" x14ac:dyDescent="0.25">
      <c r="A24" s="92">
        <v>2</v>
      </c>
      <c r="B24" s="93" t="s">
        <v>110</v>
      </c>
      <c r="C24" s="94">
        <v>1</v>
      </c>
      <c r="D24" s="94" t="s">
        <v>109</v>
      </c>
      <c r="E24" s="118">
        <v>150</v>
      </c>
      <c r="F24" s="119">
        <f t="shared" si="0"/>
        <v>550.875</v>
      </c>
      <c r="G24" s="97">
        <f t="shared" ref="G24" si="2">C24*F24</f>
        <v>550.875</v>
      </c>
      <c r="H24" s="98">
        <f t="shared" si="1"/>
        <v>150</v>
      </c>
      <c r="I24" s="99">
        <f t="shared" si="1"/>
        <v>150</v>
      </c>
    </row>
    <row r="25" spans="1:9" s="68" customFormat="1" ht="14.25" thickBot="1" x14ac:dyDescent="0.3">
      <c r="A25" s="100" t="s">
        <v>100</v>
      </c>
      <c r="B25" s="101"/>
      <c r="C25" s="101"/>
      <c r="D25" s="101"/>
      <c r="E25" s="101"/>
      <c r="F25" s="102"/>
      <c r="G25" s="103">
        <f>SUM(G23:G24)</f>
        <v>1101.75</v>
      </c>
      <c r="H25" s="104">
        <f>SUM(H23:H24)</f>
        <v>300</v>
      </c>
      <c r="I25" s="105">
        <f>SUM(I23:I24)</f>
        <v>300</v>
      </c>
    </row>
    <row r="26" spans="1:9" s="68" customFormat="1" ht="14.25" thickBot="1" x14ac:dyDescent="0.3">
      <c r="A26" s="106" t="s">
        <v>101</v>
      </c>
      <c r="B26" s="107"/>
      <c r="C26" s="108">
        <v>3.6724999999999999</v>
      </c>
      <c r="D26" s="109"/>
      <c r="E26" s="110"/>
      <c r="F26" s="111"/>
      <c r="G26" s="111"/>
      <c r="H26" s="112"/>
      <c r="I26" s="113"/>
    </row>
    <row r="27" spans="1:9" s="68" customFormat="1" ht="13.5" x14ac:dyDescent="0.25">
      <c r="A27" s="69" t="s">
        <v>102</v>
      </c>
      <c r="I27" s="114"/>
    </row>
    <row r="28" spans="1:9" s="68" customFormat="1" ht="14.25" thickBot="1" x14ac:dyDescent="0.3">
      <c r="A28" s="72" t="s">
        <v>103</v>
      </c>
      <c r="B28" s="115">
        <f ca="1">TODAY()</f>
        <v>46183</v>
      </c>
      <c r="C28" s="73"/>
      <c r="D28" s="73"/>
      <c r="E28" s="73"/>
      <c r="F28" s="73"/>
      <c r="G28" s="73"/>
      <c r="H28" s="73"/>
      <c r="I28" s="116"/>
    </row>
    <row r="29" spans="1:9" x14ac:dyDescent="0.25">
      <c r="I29" s="117"/>
    </row>
  </sheetData>
  <mergeCells count="9">
    <mergeCell ref="G14:I14"/>
    <mergeCell ref="G15:I15"/>
    <mergeCell ref="A25:F25"/>
    <mergeCell ref="A8:I8"/>
    <mergeCell ref="G9:I9"/>
    <mergeCell ref="G10:I10"/>
    <mergeCell ref="G11:I11"/>
    <mergeCell ref="G12:I12"/>
    <mergeCell ref="G13:I13"/>
  </mergeCells>
  <pageMargins left="0.7" right="0.7" top="0.75" bottom="0.75" header="0.3" footer="0.3"/>
  <pageSetup paperSize="9" scale="59" orientation="landscape" r:id="rId1"/>
  <headerFooter>
    <oddFooter>&amp;C_x000D_&amp;1#&amp;"Aptos"&amp;10&amp;K000000 DSV 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E0F6-0693-4C05-815B-F7A95F21D352}">
  <sheetPr>
    <tabColor rgb="FF92D050"/>
  </sheetPr>
  <dimension ref="A1:I37"/>
  <sheetViews>
    <sheetView showGridLines="0" zoomScale="85" zoomScaleNormal="85" zoomScaleSheetLayoutView="85" workbookViewId="0">
      <selection activeCell="H33" sqref="H33"/>
    </sheetView>
  </sheetViews>
  <sheetFormatPr defaultRowHeight="15" x14ac:dyDescent="0.25"/>
  <cols>
    <col min="1" max="1" width="7.140625" customWidth="1"/>
    <col min="2" max="2" width="56" bestFit="1" customWidth="1"/>
    <col min="3" max="3" width="7" bestFit="1" customWidth="1"/>
    <col min="4" max="4" width="13.140625" customWidth="1"/>
    <col min="5" max="5" width="11.42578125" bestFit="1" customWidth="1"/>
    <col min="6" max="6" width="11" customWidth="1"/>
    <col min="7" max="7" width="14.42578125" bestFit="1" customWidth="1"/>
    <col min="8" max="8" width="11.5703125" bestFit="1" customWidth="1"/>
    <col min="9" max="9" width="17.5703125" customWidth="1"/>
  </cols>
  <sheetData>
    <row r="1" spans="1:9" x14ac:dyDescent="0.25">
      <c r="A1" s="50"/>
      <c r="B1" s="51"/>
      <c r="C1" s="51"/>
      <c r="D1" s="51"/>
      <c r="E1" s="51"/>
      <c r="F1" s="51"/>
      <c r="G1" s="51"/>
      <c r="H1" s="51"/>
      <c r="I1" s="52"/>
    </row>
    <row r="2" spans="1:9" ht="0.75" customHeight="1" thickBot="1" x14ac:dyDescent="0.3">
      <c r="A2" s="53"/>
      <c r="I2" s="54"/>
    </row>
    <row r="3" spans="1:9" ht="22.5" customHeight="1" x14ac:dyDescent="0.25">
      <c r="A3" s="55"/>
      <c r="B3" s="56"/>
      <c r="C3" s="56"/>
      <c r="D3" s="56"/>
      <c r="E3" s="56"/>
      <c r="F3" s="56"/>
      <c r="G3" s="56"/>
      <c r="H3" s="56"/>
      <c r="I3" s="57"/>
    </row>
    <row r="4" spans="1:9" x14ac:dyDescent="0.25">
      <c r="A4" s="58"/>
      <c r="B4" s="59"/>
      <c r="C4" s="59"/>
      <c r="D4" s="59"/>
      <c r="E4" s="59"/>
      <c r="F4" s="59"/>
      <c r="G4" s="59"/>
      <c r="H4" s="59"/>
      <c r="I4" s="60"/>
    </row>
    <row r="5" spans="1:9" ht="15.75" customHeight="1" x14ac:dyDescent="0.25">
      <c r="A5" s="58"/>
      <c r="B5" s="59"/>
      <c r="C5" s="59"/>
      <c r="D5" s="59"/>
      <c r="E5" s="59"/>
      <c r="F5" s="59"/>
      <c r="G5" s="59"/>
      <c r="H5" s="59"/>
      <c r="I5" s="60"/>
    </row>
    <row r="6" spans="1:9" x14ac:dyDescent="0.25">
      <c r="A6" s="58"/>
      <c r="B6" s="59"/>
      <c r="C6" s="59"/>
      <c r="D6" s="59"/>
      <c r="E6" s="59"/>
      <c r="F6" s="59"/>
      <c r="G6" s="59"/>
      <c r="H6" s="59"/>
      <c r="I6" s="60"/>
    </row>
    <row r="7" spans="1:9" ht="15.75" thickBot="1" x14ac:dyDescent="0.3">
      <c r="A7" s="58"/>
      <c r="B7" s="59"/>
      <c r="C7" s="59"/>
      <c r="D7" s="59"/>
      <c r="E7" s="59"/>
      <c r="F7" s="59"/>
      <c r="G7" s="59"/>
      <c r="H7" s="59"/>
      <c r="I7" s="60"/>
    </row>
    <row r="8" spans="1:9" ht="16.5" thickBot="1" x14ac:dyDescent="0.3">
      <c r="A8" s="61" t="s">
        <v>64</v>
      </c>
      <c r="B8" s="62"/>
      <c r="C8" s="62"/>
      <c r="D8" s="62"/>
      <c r="E8" s="62"/>
      <c r="F8" s="62"/>
      <c r="G8" s="62"/>
      <c r="H8" s="62"/>
      <c r="I8" s="63"/>
    </row>
    <row r="9" spans="1:9" s="68" customFormat="1" ht="15" customHeight="1" x14ac:dyDescent="0.25">
      <c r="A9" s="64" t="s">
        <v>65</v>
      </c>
      <c r="B9" s="65"/>
      <c r="C9" s="65"/>
      <c r="D9" s="65"/>
      <c r="E9" s="65"/>
      <c r="F9" s="65"/>
      <c r="G9" s="66" t="s">
        <v>66</v>
      </c>
      <c r="H9" s="66"/>
      <c r="I9" s="67"/>
    </row>
    <row r="10" spans="1:9" s="68" customFormat="1" ht="13.5" x14ac:dyDescent="0.25">
      <c r="A10" s="69" t="s">
        <v>67</v>
      </c>
      <c r="G10" s="70" t="s">
        <v>68</v>
      </c>
      <c r="H10" s="70"/>
      <c r="I10" s="71"/>
    </row>
    <row r="11" spans="1:9" s="68" customFormat="1" ht="13.5" x14ac:dyDescent="0.25">
      <c r="A11" s="69" t="s">
        <v>69</v>
      </c>
      <c r="G11" s="70" t="s">
        <v>70</v>
      </c>
      <c r="H11" s="70"/>
      <c r="I11" s="71"/>
    </row>
    <row r="12" spans="1:9" s="68" customFormat="1" ht="13.5" x14ac:dyDescent="0.25">
      <c r="A12" s="69" t="s">
        <v>71</v>
      </c>
      <c r="G12" s="70" t="s">
        <v>72</v>
      </c>
      <c r="H12" s="70"/>
      <c r="I12" s="71"/>
    </row>
    <row r="13" spans="1:9" s="68" customFormat="1" ht="13.5" x14ac:dyDescent="0.25">
      <c r="A13" s="69" t="s">
        <v>73</v>
      </c>
      <c r="G13" s="70" t="s">
        <v>74</v>
      </c>
      <c r="H13" s="70"/>
      <c r="I13" s="71"/>
    </row>
    <row r="14" spans="1:9" s="68" customFormat="1" ht="13.5" x14ac:dyDescent="0.25">
      <c r="A14" s="69"/>
      <c r="G14" s="70" t="s">
        <v>75</v>
      </c>
      <c r="H14" s="70"/>
      <c r="I14" s="71"/>
    </row>
    <row r="15" spans="1:9" s="68" customFormat="1" ht="15.75" customHeight="1" thickBot="1" x14ac:dyDescent="0.3">
      <c r="A15" s="72"/>
      <c r="B15" s="73"/>
      <c r="C15" s="73"/>
      <c r="D15" s="73"/>
      <c r="E15" s="73"/>
      <c r="F15" s="73"/>
      <c r="G15" s="74" t="s">
        <v>76</v>
      </c>
      <c r="H15" s="74"/>
      <c r="I15" s="75"/>
    </row>
    <row r="16" spans="1:9" s="68" customFormat="1" ht="14.25" customHeight="1" x14ac:dyDescent="0.25">
      <c r="A16" s="76" t="s">
        <v>77</v>
      </c>
      <c r="B16" s="77"/>
      <c r="C16" s="68" t="s">
        <v>57</v>
      </c>
      <c r="F16" s="78"/>
      <c r="G16" s="79" t="s">
        <v>78</v>
      </c>
      <c r="H16" s="80" t="s">
        <v>28</v>
      </c>
      <c r="I16" s="81"/>
    </row>
    <row r="17" spans="1:9" s="68" customFormat="1" ht="13.5" x14ac:dyDescent="0.25">
      <c r="A17" s="76" t="s">
        <v>79</v>
      </c>
      <c r="C17" s="68" t="s">
        <v>117</v>
      </c>
      <c r="F17" s="77"/>
      <c r="G17" s="82"/>
      <c r="H17" s="82"/>
      <c r="I17" s="83"/>
    </row>
    <row r="18" spans="1:9" s="68" customFormat="1" ht="13.5" x14ac:dyDescent="0.25">
      <c r="A18" s="76" t="s">
        <v>81</v>
      </c>
      <c r="C18" s="68" t="s">
        <v>118</v>
      </c>
      <c r="F18" s="77"/>
      <c r="G18" s="82"/>
      <c r="H18" s="82"/>
      <c r="I18" s="83"/>
    </row>
    <row r="19" spans="1:9" s="68" customFormat="1" ht="13.5" x14ac:dyDescent="0.25">
      <c r="A19" s="76" t="s">
        <v>83</v>
      </c>
      <c r="C19" s="68" t="s">
        <v>119</v>
      </c>
      <c r="F19" s="77"/>
      <c r="G19" s="82"/>
      <c r="H19" s="82"/>
      <c r="I19" s="83"/>
    </row>
    <row r="20" spans="1:9" s="68" customFormat="1" ht="14.25" customHeight="1" x14ac:dyDescent="0.25">
      <c r="A20" s="84" t="s">
        <v>85</v>
      </c>
      <c r="C20" s="68" t="s">
        <v>120</v>
      </c>
      <c r="F20" s="77"/>
      <c r="G20" s="82"/>
      <c r="H20" s="82"/>
      <c r="I20" s="85"/>
    </row>
    <row r="21" spans="1:9" s="68" customFormat="1" ht="14.25" customHeight="1" thickBot="1" x14ac:dyDescent="0.3">
      <c r="A21" s="84" t="s">
        <v>87</v>
      </c>
      <c r="B21" s="77"/>
      <c r="C21" s="68" t="s">
        <v>58</v>
      </c>
      <c r="F21" s="77"/>
      <c r="G21" s="82"/>
      <c r="H21" s="82"/>
      <c r="I21" s="83"/>
    </row>
    <row r="22" spans="1:9" s="68" customFormat="1" ht="40.5" x14ac:dyDescent="0.25">
      <c r="A22" s="86" t="s">
        <v>88</v>
      </c>
      <c r="B22" s="87"/>
      <c r="C22" s="88" t="s">
        <v>89</v>
      </c>
      <c r="D22" s="89" t="s">
        <v>90</v>
      </c>
      <c r="E22" s="89" t="s">
        <v>91</v>
      </c>
      <c r="F22" s="89" t="s">
        <v>92</v>
      </c>
      <c r="G22" s="89" t="s">
        <v>93</v>
      </c>
      <c r="H22" s="89" t="s">
        <v>94</v>
      </c>
      <c r="I22" s="91" t="s">
        <v>95</v>
      </c>
    </row>
    <row r="23" spans="1:9" s="68" customFormat="1" ht="13.5" x14ac:dyDescent="0.25">
      <c r="A23" s="92">
        <v>1</v>
      </c>
      <c r="B23" s="93" t="s">
        <v>108</v>
      </c>
      <c r="C23" s="94">
        <v>1</v>
      </c>
      <c r="D23" s="94" t="s">
        <v>109</v>
      </c>
      <c r="E23" s="118">
        <v>80</v>
      </c>
      <c r="F23" s="119">
        <f t="shared" ref="F23:F32" si="0">E23*3.6725</f>
        <v>293.8</v>
      </c>
      <c r="G23" s="97">
        <f>C23*F23</f>
        <v>293.8</v>
      </c>
      <c r="H23" s="98">
        <f t="shared" ref="H23:I32" si="1">F23/3.6725</f>
        <v>80</v>
      </c>
      <c r="I23" s="99">
        <f t="shared" si="1"/>
        <v>80</v>
      </c>
    </row>
    <row r="24" spans="1:9" s="68" customFormat="1" ht="13.5" x14ac:dyDescent="0.25">
      <c r="A24" s="92">
        <v>2</v>
      </c>
      <c r="B24" s="93" t="s">
        <v>110</v>
      </c>
      <c r="C24" s="94">
        <v>1</v>
      </c>
      <c r="D24" s="94" t="s">
        <v>109</v>
      </c>
      <c r="E24" s="118">
        <v>150</v>
      </c>
      <c r="F24" s="119">
        <f t="shared" si="0"/>
        <v>550.875</v>
      </c>
      <c r="G24" s="97">
        <f t="shared" ref="G24:G32" si="2">C24*F24</f>
        <v>550.875</v>
      </c>
      <c r="H24" s="98">
        <f t="shared" si="1"/>
        <v>150</v>
      </c>
      <c r="I24" s="99">
        <f t="shared" si="1"/>
        <v>150</v>
      </c>
    </row>
    <row r="25" spans="1:9" s="68" customFormat="1" ht="13.5" x14ac:dyDescent="0.25">
      <c r="A25" s="92">
        <v>3</v>
      </c>
      <c r="B25" s="93" t="s">
        <v>121</v>
      </c>
      <c r="C25" s="94">
        <v>670</v>
      </c>
      <c r="D25" s="94" t="s">
        <v>109</v>
      </c>
      <c r="E25" s="118">
        <v>0.55000000000000004</v>
      </c>
      <c r="F25" s="119">
        <f t="shared" si="0"/>
        <v>2.0198750000000003</v>
      </c>
      <c r="G25" s="97">
        <f t="shared" si="2"/>
        <v>1353.3162500000003</v>
      </c>
      <c r="H25" s="98">
        <f t="shared" si="1"/>
        <v>0.55000000000000016</v>
      </c>
      <c r="I25" s="99">
        <f t="shared" si="1"/>
        <v>368.50000000000011</v>
      </c>
    </row>
    <row r="26" spans="1:9" s="68" customFormat="1" ht="13.5" x14ac:dyDescent="0.25">
      <c r="A26" s="92">
        <v>4</v>
      </c>
      <c r="B26" s="93" t="s">
        <v>112</v>
      </c>
      <c r="C26" s="94">
        <v>1</v>
      </c>
      <c r="D26" s="94" t="s">
        <v>97</v>
      </c>
      <c r="E26" s="118">
        <v>306.60313138100003</v>
      </c>
      <c r="F26" s="119">
        <f t="shared" si="0"/>
        <v>1125.9999999967226</v>
      </c>
      <c r="G26" s="97">
        <f t="shared" si="2"/>
        <v>1125.9999999967226</v>
      </c>
      <c r="H26" s="98">
        <f t="shared" si="1"/>
        <v>306.60313138100003</v>
      </c>
      <c r="I26" s="99">
        <f t="shared" si="1"/>
        <v>306.60313138100003</v>
      </c>
    </row>
    <row r="27" spans="1:9" s="68" customFormat="1" ht="13.5" x14ac:dyDescent="0.25">
      <c r="A27" s="92">
        <v>5</v>
      </c>
      <c r="B27" s="93" t="s">
        <v>122</v>
      </c>
      <c r="C27" s="94">
        <v>1</v>
      </c>
      <c r="D27" s="94" t="s">
        <v>97</v>
      </c>
      <c r="E27" s="118">
        <f>572/3.6725</f>
        <v>155.75221238938053</v>
      </c>
      <c r="F27" s="119">
        <f t="shared" si="0"/>
        <v>572</v>
      </c>
      <c r="G27" s="97">
        <f t="shared" si="2"/>
        <v>572</v>
      </c>
      <c r="H27" s="98">
        <f t="shared" si="1"/>
        <v>155.75221238938053</v>
      </c>
      <c r="I27" s="99">
        <f t="shared" si="1"/>
        <v>155.75221238938053</v>
      </c>
    </row>
    <row r="28" spans="1:9" s="68" customFormat="1" ht="13.5" x14ac:dyDescent="0.25">
      <c r="A28" s="92">
        <v>6</v>
      </c>
      <c r="B28" s="93" t="s">
        <v>123</v>
      </c>
      <c r="C28" s="94">
        <v>1</v>
      </c>
      <c r="D28" s="94" t="s">
        <v>97</v>
      </c>
      <c r="E28" s="118">
        <v>150</v>
      </c>
      <c r="F28" s="119">
        <f t="shared" si="0"/>
        <v>550.875</v>
      </c>
      <c r="G28" s="97">
        <f t="shared" si="2"/>
        <v>550.875</v>
      </c>
      <c r="H28" s="98">
        <f t="shared" si="1"/>
        <v>150</v>
      </c>
      <c r="I28" s="99">
        <f t="shared" si="1"/>
        <v>150</v>
      </c>
    </row>
    <row r="29" spans="1:9" s="68" customFormat="1" ht="13.5" x14ac:dyDescent="0.25">
      <c r="A29" s="92">
        <v>7</v>
      </c>
      <c r="B29" s="93" t="s">
        <v>124</v>
      </c>
      <c r="C29" s="94">
        <v>1</v>
      </c>
      <c r="D29" s="94" t="s">
        <v>125</v>
      </c>
      <c r="E29" s="118">
        <v>55</v>
      </c>
      <c r="F29" s="119">
        <f t="shared" si="0"/>
        <v>201.98749999999998</v>
      </c>
      <c r="G29" s="97">
        <f t="shared" si="2"/>
        <v>201.98749999999998</v>
      </c>
      <c r="H29" s="98">
        <f t="shared" si="1"/>
        <v>55</v>
      </c>
      <c r="I29" s="99">
        <f t="shared" si="1"/>
        <v>55</v>
      </c>
    </row>
    <row r="30" spans="1:9" s="68" customFormat="1" ht="13.5" x14ac:dyDescent="0.25">
      <c r="A30" s="92">
        <v>8</v>
      </c>
      <c r="B30" s="93" t="s">
        <v>111</v>
      </c>
      <c r="C30" s="94">
        <v>1</v>
      </c>
      <c r="D30" s="94" t="s">
        <v>125</v>
      </c>
      <c r="E30" s="118">
        <v>125</v>
      </c>
      <c r="F30" s="119">
        <f t="shared" si="0"/>
        <v>459.0625</v>
      </c>
      <c r="G30" s="97">
        <f t="shared" si="2"/>
        <v>459.0625</v>
      </c>
      <c r="H30" s="98">
        <f t="shared" si="1"/>
        <v>125</v>
      </c>
      <c r="I30" s="99">
        <f t="shared" si="1"/>
        <v>125</v>
      </c>
    </row>
    <row r="31" spans="1:9" s="68" customFormat="1" ht="13.5" x14ac:dyDescent="0.25">
      <c r="A31" s="92">
        <v>9</v>
      </c>
      <c r="B31" s="93" t="s">
        <v>126</v>
      </c>
      <c r="C31" s="94">
        <v>1</v>
      </c>
      <c r="D31" s="94" t="s">
        <v>125</v>
      </c>
      <c r="E31" s="118">
        <v>150</v>
      </c>
      <c r="F31" s="119">
        <f t="shared" si="0"/>
        <v>550.875</v>
      </c>
      <c r="G31" s="97">
        <f t="shared" si="2"/>
        <v>550.875</v>
      </c>
      <c r="H31" s="98">
        <f t="shared" si="1"/>
        <v>150</v>
      </c>
      <c r="I31" s="99">
        <f t="shared" si="1"/>
        <v>150</v>
      </c>
    </row>
    <row r="32" spans="1:9" s="68" customFormat="1" ht="13.5" x14ac:dyDescent="0.25">
      <c r="A32" s="92"/>
      <c r="B32" s="93"/>
      <c r="C32" s="94"/>
      <c r="D32" s="94"/>
      <c r="E32" s="118"/>
      <c r="F32" s="119">
        <f t="shared" si="0"/>
        <v>0</v>
      </c>
      <c r="G32" s="97">
        <f t="shared" si="2"/>
        <v>0</v>
      </c>
      <c r="H32" s="98">
        <f t="shared" si="1"/>
        <v>0</v>
      </c>
      <c r="I32" s="99">
        <f t="shared" si="1"/>
        <v>0</v>
      </c>
    </row>
    <row r="33" spans="1:9" s="68" customFormat="1" ht="14.25" thickBot="1" x14ac:dyDescent="0.3">
      <c r="A33" s="100" t="s">
        <v>100</v>
      </c>
      <c r="B33" s="101"/>
      <c r="C33" s="101"/>
      <c r="D33" s="101"/>
      <c r="E33" s="101"/>
      <c r="F33" s="102"/>
      <c r="G33" s="103">
        <f>SUM(G23:G32)</f>
        <v>5658.7912499967233</v>
      </c>
      <c r="H33" s="104">
        <f>SUM(H23:H32)</f>
        <v>1172.9053437703806</v>
      </c>
      <c r="I33" s="105">
        <f>SUM(I23:I32)</f>
        <v>1540.8553437703806</v>
      </c>
    </row>
    <row r="34" spans="1:9" s="68" customFormat="1" ht="14.25" thickBot="1" x14ac:dyDescent="0.3">
      <c r="A34" s="106" t="s">
        <v>101</v>
      </c>
      <c r="B34" s="107"/>
      <c r="C34" s="108">
        <v>3.6724999999999999</v>
      </c>
      <c r="D34" s="109"/>
      <c r="E34" s="110"/>
      <c r="F34" s="111"/>
      <c r="G34" s="111"/>
      <c r="H34" s="112"/>
      <c r="I34" s="113"/>
    </row>
    <row r="35" spans="1:9" s="68" customFormat="1" ht="13.5" x14ac:dyDescent="0.25">
      <c r="A35" s="69" t="s">
        <v>102</v>
      </c>
      <c r="I35" s="114"/>
    </row>
    <row r="36" spans="1:9" s="68" customFormat="1" ht="14.25" thickBot="1" x14ac:dyDescent="0.3">
      <c r="A36" s="72" t="s">
        <v>103</v>
      </c>
      <c r="B36" s="115">
        <f ca="1">TODAY()</f>
        <v>46183</v>
      </c>
      <c r="C36" s="73"/>
      <c r="D36" s="73"/>
      <c r="E36" s="73"/>
      <c r="F36" s="73"/>
      <c r="G36" s="73"/>
      <c r="H36" s="73"/>
      <c r="I36" s="116"/>
    </row>
    <row r="37" spans="1:9" x14ac:dyDescent="0.25">
      <c r="I37" s="117"/>
    </row>
  </sheetData>
  <mergeCells count="9">
    <mergeCell ref="G14:I14"/>
    <mergeCell ref="G15:I15"/>
    <mergeCell ref="A33:F33"/>
    <mergeCell ref="A8:I8"/>
    <mergeCell ref="G9:I9"/>
    <mergeCell ref="G10:I10"/>
    <mergeCell ref="G11:I11"/>
    <mergeCell ref="G12:I12"/>
    <mergeCell ref="G13:I13"/>
  </mergeCells>
  <pageMargins left="0.7" right="0.7" top="0.75" bottom="0.75" header="0.3" footer="0.3"/>
  <pageSetup paperSize="9" scale="59" orientation="landscape" r:id="rId1"/>
  <headerFooter>
    <oddFooter>&amp;C_x000D_&amp;1#&amp;"Aptos"&amp;10&amp;K000000 DSV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 2026</vt:lpstr>
      <vt:lpstr>SCT0166</vt:lpstr>
      <vt:lpstr>HE0561</vt:lpstr>
      <vt:lpstr>HE0557</vt:lpstr>
      <vt:lpstr>HVDC-SIE-SCT-20260428-001</vt:lpstr>
    </vt:vector>
  </TitlesOfParts>
  <Company>DSV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Romeo Etis - DSV</dc:creator>
  <cp:lastModifiedBy>John Romeo Etis - DSV</cp:lastModifiedBy>
  <dcterms:created xsi:type="dcterms:W3CDTF">2026-06-10T07:44:33Z</dcterms:created>
  <dcterms:modified xsi:type="dcterms:W3CDTF">2026-06-10T07:47:24Z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2026-06-10T07:45:41Z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06db8ff6-9a1a-4ba1-8b26-b8765951836a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