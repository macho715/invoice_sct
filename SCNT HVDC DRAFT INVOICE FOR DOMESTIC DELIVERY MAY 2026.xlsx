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svcorp.sharepoint.com/teams/BillingTeam161/Shared Documents/Projects/2026/03.SAMSUNG C&amp;T/05. May 2026/"/>
    </mc:Choice>
  </mc:AlternateContent>
  <xr:revisionPtr revIDLastSave="7" documentId="8_{999DFFBC-4FA3-411F-9FB5-860827337F25}" xr6:coauthVersionLast="47" xr6:coauthVersionMax="47" xr10:uidLastSave="{D529A5E2-AC19-467D-AC31-06F9FD6E166D}"/>
  <bookViews>
    <workbookView xWindow="-120" yWindow="-120" windowWidth="29040" windowHeight="15720" xr2:uid="{5531390D-DF74-446F-AD33-351957273894}"/>
  </bookViews>
  <sheets>
    <sheet name="DOMESTIC TRIPS (MAY)" sheetId="1" r:id="rId1"/>
  </sheets>
  <definedNames>
    <definedName name="_xlnm._FilterDatabase" localSheetId="0" hidden="1">'DOMESTIC TRIPS (MAY)'!$A$9:$W$27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2" i="1" l="1"/>
  <c r="K32" i="1"/>
  <c r="K31" i="1"/>
  <c r="L31" i="1" s="1"/>
  <c r="K30" i="1"/>
  <c r="L30" i="1" s="1"/>
  <c r="K29" i="1"/>
  <c r="L29" i="1" s="1"/>
  <c r="S34" i="1"/>
  <c r="U34" i="1" s="1"/>
  <c r="J28" i="1"/>
  <c r="K28" i="1" s="1"/>
  <c r="L28" i="1" s="1"/>
  <c r="U28" i="1" s="1"/>
  <c r="K27" i="1"/>
  <c r="L27" i="1" s="1"/>
  <c r="J26" i="1"/>
  <c r="K26" i="1" s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J19" i="1"/>
  <c r="K19" i="1" s="1"/>
  <c r="L19" i="1" s="1"/>
  <c r="K18" i="1"/>
  <c r="L18" i="1" s="1"/>
  <c r="K17" i="1"/>
  <c r="L17" i="1" s="1"/>
  <c r="K16" i="1"/>
  <c r="L16" i="1" s="1"/>
  <c r="K15" i="1"/>
  <c r="L15" i="1" s="1"/>
  <c r="J14" i="1"/>
  <c r="K14" i="1" s="1"/>
  <c r="L14" i="1" s="1"/>
  <c r="J13" i="1"/>
  <c r="K13" i="1" s="1"/>
  <c r="L13" i="1" s="1"/>
  <c r="J12" i="1"/>
  <c r="K12" i="1" s="1"/>
  <c r="L12" i="1" s="1"/>
  <c r="J11" i="1"/>
  <c r="K11" i="1" s="1"/>
  <c r="L11" i="1" s="1"/>
  <c r="J10" i="1"/>
  <c r="K10" i="1" s="1"/>
  <c r="L10" i="1" s="1"/>
  <c r="S29" i="1" l="1"/>
  <c r="U29" i="1" s="1"/>
  <c r="S30" i="1"/>
  <c r="U30" i="1"/>
  <c r="U31" i="1"/>
  <c r="S31" i="1"/>
  <c r="S32" i="1"/>
  <c r="U32" i="1" s="1"/>
  <c r="S17" i="1"/>
  <c r="U17" i="1" s="1"/>
  <c r="S18" i="1"/>
  <c r="U18" i="1" s="1"/>
  <c r="S21" i="1"/>
  <c r="U21" i="1" s="1"/>
  <c r="S10" i="1"/>
  <c r="L35" i="1"/>
  <c r="K38" i="1" s="1"/>
  <c r="S19" i="1"/>
  <c r="U19" i="1" s="1"/>
  <c r="S22" i="1"/>
  <c r="U22" i="1" s="1"/>
  <c r="S23" i="1"/>
  <c r="U23" i="1" s="1"/>
  <c r="S24" i="1"/>
  <c r="U24" i="1" s="1"/>
  <c r="S25" i="1"/>
  <c r="U25" i="1" s="1"/>
  <c r="S12" i="1"/>
  <c r="U12" i="1" s="1"/>
  <c r="S26" i="1"/>
  <c r="U26" i="1" s="1"/>
  <c r="S13" i="1"/>
  <c r="U13" i="1" s="1"/>
  <c r="S27" i="1"/>
  <c r="U27" i="1" s="1"/>
  <c r="S14" i="1"/>
  <c r="U14" i="1" s="1"/>
  <c r="S15" i="1"/>
  <c r="U15" i="1" s="1"/>
  <c r="S20" i="1"/>
  <c r="U20" i="1" s="1"/>
  <c r="S11" i="1"/>
  <c r="U11" i="1" s="1"/>
  <c r="S16" i="1"/>
  <c r="U16" i="1" s="1"/>
  <c r="S35" i="1" l="1"/>
  <c r="K39" i="1" s="1"/>
  <c r="K40" i="1" s="1"/>
  <c r="U10" i="1"/>
  <c r="U35" i="1" s="1"/>
  <c r="U41" i="1" s="1"/>
</calcChain>
</file>

<file path=xl/sharedStrings.xml><?xml version="1.0" encoding="utf-8"?>
<sst xmlns="http://schemas.openxmlformats.org/spreadsheetml/2006/main" count="211" uniqueCount="80">
  <si>
    <t>DRAFT INVOICE FOR HVDC (LIGHTING PROJECT)</t>
  </si>
  <si>
    <t>DATE :</t>
  </si>
  <si>
    <t>JULY-2024</t>
  </si>
  <si>
    <t>SAMSUNG C&amp;T (HVDC) - DOMESTIC TRANSPORTATION DRAFT INVOICE (DOMESTIC 2026)</t>
  </si>
  <si>
    <t>TRANSPORTATION</t>
  </si>
  <si>
    <t>Additional Cost due War</t>
  </si>
  <si>
    <t>Master DO</t>
  </si>
  <si>
    <t>Customs Clearance</t>
  </si>
  <si>
    <t>Crane Charges</t>
  </si>
  <si>
    <t xml:space="preserve">Terminal Handling </t>
  </si>
  <si>
    <t>Appointment/ DPC Fee</t>
  </si>
  <si>
    <t>Fuel Surgcharge</t>
  </si>
  <si>
    <t>AT COST WITH RECEIPT</t>
  </si>
  <si>
    <t>USD 1.00 = AED 3.6725</t>
  </si>
  <si>
    <t>S/N</t>
  </si>
  <si>
    <t>Shipment Reference#</t>
  </si>
  <si>
    <t>Job #</t>
  </si>
  <si>
    <t>Operation Type</t>
  </si>
  <si>
    <t>Place of Loading</t>
  </si>
  <si>
    <t>Place of Delivery</t>
  </si>
  <si>
    <t># Trips</t>
  </si>
  <si>
    <t>Vehicle Type</t>
  </si>
  <si>
    <t>Applied rate</t>
  </si>
  <si>
    <t>Rate (AED)</t>
  </si>
  <si>
    <t>Rate (US$)</t>
  </si>
  <si>
    <t>Amount (US$)</t>
  </si>
  <si>
    <t>Gate Pass / Toll Fee / Cancellation Fee</t>
  </si>
  <si>
    <t>Total (US$)</t>
  </si>
  <si>
    <t>Remarks</t>
  </si>
  <si>
    <t>01.</t>
  </si>
  <si>
    <t>HVDC-ADOPT-SCT-0174</t>
  </si>
  <si>
    <t xml:space="preserve">SAMF0017028 </t>
  </si>
  <si>
    <t>LOADING</t>
  </si>
  <si>
    <t>DSV MUSSAFAH YARD</t>
  </si>
  <si>
    <t>MIRFA PMO SAMSUNG + SHWEIHAT POWER STATION</t>
  </si>
  <si>
    <t>FLATBED</t>
  </si>
  <si>
    <t>CONTRACT</t>
  </si>
  <si>
    <t>02.</t>
  </si>
  <si>
    <t>SAMSUNG MOSB YARD</t>
  </si>
  <si>
    <t>03.</t>
  </si>
  <si>
    <t>HVDC-DSV-HE-MOSB-384</t>
  </si>
  <si>
    <t>DSV M44 WAREHOUSE</t>
  </si>
  <si>
    <t>04.</t>
  </si>
  <si>
    <t>HVDC-DSV-MOSB-MIR-382</t>
  </si>
  <si>
    <t>MIRFA PMO SAMSUNG</t>
  </si>
  <si>
    <t>3 TON PICKUP</t>
  </si>
  <si>
    <t>we used contract rate from AUH Airport to Mirfa</t>
  </si>
  <si>
    <t>05.</t>
  </si>
  <si>
    <t>HVDC-DSV-MOSB-383</t>
  </si>
  <si>
    <t>06.</t>
  </si>
  <si>
    <t>HVDC-DSV-SIM-MOSB-385</t>
  </si>
  <si>
    <t>AAA ICAD</t>
  </si>
  <si>
    <t>FLATBED HAZMAT</t>
  </si>
  <si>
    <t>AS PER OFFER</t>
  </si>
  <si>
    <t>we used the previous rate HVDC-ADOPT-SIM-0006-DG</t>
  </si>
  <si>
    <t>07.</t>
  </si>
  <si>
    <t>HVDC-ADOPT-SCT-0170</t>
  </si>
  <si>
    <t>08.</t>
  </si>
  <si>
    <t>HVDC-ADOPT-SCT-0168</t>
  </si>
  <si>
    <t>we used contract rate from AUH Airport to MOSB</t>
  </si>
  <si>
    <t>09.</t>
  </si>
  <si>
    <t>HVDC-DSV-HE-MOSB-379</t>
  </si>
  <si>
    <t>HVDC-DSV-MOSB-MIR-380</t>
  </si>
  <si>
    <t>HVDC-DSV-HE-MOSB-381</t>
  </si>
  <si>
    <t>HVDC-AGI-ALS-432</t>
  </si>
  <si>
    <t>AL MASAOOD ICAD</t>
  </si>
  <si>
    <t>HVDC-AGI-ALS-430</t>
  </si>
  <si>
    <t>HVDC-DSV-HE-MOSB-386</t>
  </si>
  <si>
    <t>HVDC-MOSB-HE-DSV-387</t>
  </si>
  <si>
    <t>HVDC-ADOPT-HE-0215</t>
  </si>
  <si>
    <t>CLEARANCE</t>
  </si>
  <si>
    <t>MINA ZAYED</t>
  </si>
  <si>
    <t>-</t>
  </si>
  <si>
    <t>DSV</t>
  </si>
  <si>
    <t>TOTAL AMOUNT</t>
  </si>
  <si>
    <t>TRANSPORTATION CHARGES</t>
  </si>
  <si>
    <t>FUEL SURCHARES</t>
  </si>
  <si>
    <t>TOTAL</t>
  </si>
  <si>
    <t xml:space="preserve">SAMF0017388 </t>
  </si>
  <si>
    <t>LOWBED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</si>
</sst>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USD]\ #,##0.00_);[Red]\([$USD]\ #,##0.00\)"/>
    <numFmt numFmtId="165" formatCode="_(* #,##0.0000_);_(* \(#,##0.0000\);_(* &quot;-&quot;????_);_(@_)"/>
    <numFmt numFmtId="166" formatCode="[$AED]\ #,##0.00_);[Red]\([$AED]\ #,##0.00\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u/>
      <sz val="26"/>
      <color theme="1"/>
      <name val="Aptos"/>
      <family val="2"/>
    </font>
    <font>
      <b/>
      <sz val="10"/>
      <color theme="0"/>
      <name val="Aptos"/>
      <family val="2"/>
    </font>
    <font>
      <b/>
      <sz val="10"/>
      <name val="Aptos"/>
      <family val="2"/>
    </font>
    <font>
      <b/>
      <i/>
      <sz val="10"/>
      <name val="Aptos"/>
      <family val="2"/>
    </font>
    <font>
      <b/>
      <sz val="10"/>
      <color rgb="FFFF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3" fontId="2" fillId="2" borderId="0" xfId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43" fontId="2" fillId="2" borderId="0" xfId="0" applyNumberFormat="1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textRotation="180"/>
    </xf>
    <xf numFmtId="0" fontId="5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43" fontId="5" fillId="3" borderId="6" xfId="1" applyFont="1" applyFill="1" applyBorder="1" applyAlignment="1">
      <alignment horizontal="center" vertical="center" wrapText="1"/>
    </xf>
    <xf numFmtId="0" fontId="6" fillId="2" borderId="5" xfId="0" quotePrefix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43" fontId="6" fillId="5" borderId="6" xfId="1" applyFont="1" applyFill="1" applyBorder="1" applyAlignment="1">
      <alignment horizontal="center" vertical="center"/>
    </xf>
    <xf numFmtId="43" fontId="7" fillId="6" borderId="6" xfId="1" applyFont="1" applyFill="1" applyBorder="1" applyAlignment="1">
      <alignment horizontal="center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6" xfId="1" applyFont="1" applyBorder="1" applyAlignment="1">
      <alignment horizontal="center" vertical="center"/>
    </xf>
    <xf numFmtId="44" fontId="6" fillId="7" borderId="6" xfId="0" applyNumberFormat="1" applyFont="1" applyFill="1" applyBorder="1" applyAlignment="1">
      <alignment horizontal="center" vertical="center"/>
    </xf>
    <xf numFmtId="44" fontId="3" fillId="0" borderId="6" xfId="0" applyNumberFormat="1" applyFont="1" applyBorder="1" applyAlignment="1">
      <alignment horizontal="center" vertical="center"/>
    </xf>
    <xf numFmtId="4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2" borderId="6" xfId="0" quotePrefix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2" borderId="8" xfId="0" quotePrefix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8" xfId="0" quotePrefix="1" applyFont="1" applyFill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2" borderId="8" xfId="0" applyFont="1" applyFill="1" applyBorder="1" applyAlignment="1">
      <alignment vertical="center"/>
    </xf>
    <xf numFmtId="43" fontId="5" fillId="3" borderId="6" xfId="0" applyNumberFormat="1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44" fontId="5" fillId="3" borderId="6" xfId="0" applyNumberFormat="1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3" fontId="2" fillId="0" borderId="0" xfId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43" fontId="2" fillId="0" borderId="10" xfId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 wrapText="1"/>
    </xf>
    <xf numFmtId="18" fontId="2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" fontId="2" fillId="0" borderId="10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1</xdr:row>
      <xdr:rowOff>28575</xdr:rowOff>
    </xdr:from>
    <xdr:to>
      <xdr:col>22</xdr:col>
      <xdr:colOff>1535206</xdr:colOff>
      <xdr:row>3</xdr:row>
      <xdr:rowOff>100853</xdr:rowOff>
    </xdr:to>
    <xdr:pic>
      <xdr:nvPicPr>
        <xdr:cNvPr id="2" name="그림 3">
          <a:extLst>
            <a:ext uri="{FF2B5EF4-FFF2-40B4-BE49-F238E27FC236}">
              <a16:creationId xmlns:a16="http://schemas.microsoft.com/office/drawing/2014/main" id="{B077E4D8-6E7F-44AD-A2AE-ABBF509DBF5A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31650" y="200025"/>
          <a:ext cx="1535206" cy="415178"/>
        </a:xfrm>
        <a:prstGeom prst="rect">
          <a:avLst/>
        </a:prstGeom>
      </xdr:spPr>
    </xdr:pic>
    <xdr:clientData/>
  </xdr:twoCellAnchor>
  <xdr:twoCellAnchor editAs="oneCell">
    <xdr:from>
      <xdr:col>0</xdr:col>
      <xdr:colOff>101663</xdr:colOff>
      <xdr:row>4</xdr:row>
      <xdr:rowOff>101393</xdr:rowOff>
    </xdr:from>
    <xdr:to>
      <xdr:col>2</xdr:col>
      <xdr:colOff>1077636</xdr:colOff>
      <xdr:row>6</xdr:row>
      <xdr:rowOff>67898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0C45E56-35F4-42DA-98ED-13BC64F92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63" y="787193"/>
          <a:ext cx="3500098" cy="576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1104264</xdr:colOff>
      <xdr:row>4</xdr:row>
      <xdr:rowOff>101664</xdr:rowOff>
    </xdr:from>
    <xdr:to>
      <xdr:col>21</xdr:col>
      <xdr:colOff>2714059</xdr:colOff>
      <xdr:row>6</xdr:row>
      <xdr:rowOff>47307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6CA5B0CE-E8AA-42FD-99E4-89DAD1CF5087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06914" y="787464"/>
          <a:ext cx="1609795" cy="5552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4FBE-6673-4BD1-B22B-BC49DC12CA54}">
  <sheetPr>
    <tabColor rgb="FF92D050"/>
    <pageSetUpPr fitToPage="1"/>
  </sheetPr>
  <dimension ref="A1:W50"/>
  <sheetViews>
    <sheetView tabSelected="1" topLeftCell="A5" zoomScale="85" zoomScaleNormal="85" workbookViewId="0">
      <pane xSplit="4" ySplit="5" topLeftCell="E10" activePane="bottomRight" state="frozen"/>
      <selection pane="topRight" activeCell="E5" sqref="E5"/>
      <selection pane="bottomLeft" activeCell="A7" sqref="A7"/>
      <selection pane="bottomRight" activeCell="Q41" sqref="Q41"/>
    </sheetView>
  </sheetViews>
  <sheetFormatPr defaultColWidth="9.140625" defaultRowHeight="13.5" x14ac:dyDescent="0.25"/>
  <cols>
    <col min="1" max="1" width="6.28515625" style="4" customWidth="1"/>
    <col min="2" max="2" width="31.5703125" style="4" customWidth="1"/>
    <col min="3" max="3" width="16.7109375" style="4" bestFit="1" customWidth="1"/>
    <col min="4" max="4" width="13.7109375" style="4" customWidth="1"/>
    <col min="5" max="5" width="22.5703125" style="4" customWidth="1"/>
    <col min="6" max="6" width="28.5703125" style="42" customWidth="1"/>
    <col min="7" max="7" width="5.140625" style="4" customWidth="1"/>
    <col min="8" max="8" width="19.140625" style="4" bestFit="1" customWidth="1"/>
    <col min="9" max="9" width="14.140625" style="4" bestFit="1" customWidth="1"/>
    <col min="10" max="10" width="14.140625" style="43" customWidth="1"/>
    <col min="11" max="11" width="12.28515625" style="43" bestFit="1" customWidth="1"/>
    <col min="12" max="12" width="14.7109375" style="4" bestFit="1" customWidth="1"/>
    <col min="13" max="13" width="15.5703125" style="4" bestFit="1" customWidth="1"/>
    <col min="14" max="14" width="11.140625" style="4" customWidth="1"/>
    <col min="15" max="17" width="11.5703125" style="4" customWidth="1"/>
    <col min="18" max="18" width="12.5703125" style="4" customWidth="1"/>
    <col min="19" max="19" width="13.28515625" style="4" customWidth="1"/>
    <col min="20" max="20" width="14" style="4" bestFit="1" customWidth="1"/>
    <col min="21" max="21" width="17.7109375" style="4" bestFit="1" customWidth="1"/>
    <col min="22" max="22" width="51.42578125" style="4" customWidth="1"/>
    <col min="23" max="23" width="35.140625" style="4" bestFit="1" customWidth="1"/>
    <col min="24" max="24" width="10.28515625" style="4" bestFit="1" customWidth="1"/>
    <col min="25" max="16384" width="9.140625" style="4"/>
  </cols>
  <sheetData>
    <row r="1" spans="1:23" x14ac:dyDescent="0.25">
      <c r="A1" s="1"/>
      <c r="B1" s="1"/>
      <c r="C1" s="1"/>
      <c r="D1" s="1"/>
      <c r="E1" s="1"/>
      <c r="F1" s="2"/>
      <c r="G1" s="1"/>
      <c r="H1" s="1"/>
      <c r="I1" s="1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3" x14ac:dyDescent="0.25">
      <c r="A2" s="1"/>
      <c r="B2" s="60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5"/>
    </row>
    <row r="3" spans="1:23" x14ac:dyDescent="0.25">
      <c r="A3" s="1"/>
      <c r="B3" s="5" t="s">
        <v>1</v>
      </c>
      <c r="C3" s="5"/>
      <c r="D3" s="6" t="s">
        <v>2</v>
      </c>
      <c r="E3" s="1"/>
      <c r="F3" s="2"/>
      <c r="G3" s="1"/>
      <c r="H3" s="1"/>
      <c r="I3" s="1"/>
      <c r="J3" s="3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3" x14ac:dyDescent="0.25">
      <c r="A4" s="1"/>
      <c r="B4" s="1"/>
      <c r="C4" s="1"/>
      <c r="D4" s="1"/>
      <c r="E4" s="1"/>
      <c r="F4" s="2"/>
      <c r="G4" s="1"/>
      <c r="H4" s="1"/>
      <c r="I4" s="1"/>
      <c r="J4" s="3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3" x14ac:dyDescent="0.25">
      <c r="A5" s="1"/>
      <c r="B5" s="1"/>
      <c r="C5" s="1"/>
      <c r="D5" s="1"/>
      <c r="E5" s="1"/>
      <c r="F5" s="2"/>
      <c r="G5" s="1"/>
      <c r="H5" s="1"/>
      <c r="I5" s="1"/>
      <c r="J5" s="3"/>
      <c r="K5" s="3"/>
      <c r="L5" s="7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3" ht="34.5" x14ac:dyDescent="0.25">
      <c r="A6" s="61" t="s">
        <v>3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</row>
    <row r="7" spans="1:23" ht="14.25" thickBot="1" x14ac:dyDescent="0.3">
      <c r="A7" s="1"/>
      <c r="B7" s="1"/>
      <c r="C7" s="1"/>
      <c r="D7" s="1"/>
      <c r="E7" s="1"/>
      <c r="F7" s="2"/>
      <c r="G7" s="1"/>
      <c r="H7" s="1"/>
      <c r="I7" s="1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3" ht="15" thickTop="1" thickBot="1" x14ac:dyDescent="0.3">
      <c r="A8" s="1"/>
      <c r="B8" s="1"/>
      <c r="C8" s="1"/>
      <c r="D8" s="1"/>
      <c r="E8" s="1"/>
      <c r="F8" s="2"/>
      <c r="G8" s="55" t="s">
        <v>4</v>
      </c>
      <c r="H8" s="56"/>
      <c r="I8" s="56"/>
      <c r="J8" s="56"/>
      <c r="K8" s="56"/>
      <c r="L8" s="57"/>
      <c r="M8" s="62" t="s">
        <v>5</v>
      </c>
      <c r="N8" s="64" t="s">
        <v>6</v>
      </c>
      <c r="O8" s="64" t="s">
        <v>7</v>
      </c>
      <c r="P8" s="64" t="s">
        <v>8</v>
      </c>
      <c r="Q8" s="64" t="s">
        <v>9</v>
      </c>
      <c r="R8" s="64" t="s">
        <v>10</v>
      </c>
      <c r="S8" s="64" t="s">
        <v>11</v>
      </c>
      <c r="T8" s="53" t="s">
        <v>12</v>
      </c>
      <c r="U8" s="54"/>
      <c r="V8" s="9" t="s">
        <v>13</v>
      </c>
    </row>
    <row r="9" spans="1:23" ht="36.75" customHeight="1" thickTop="1" thickBot="1" x14ac:dyDescent="0.3">
      <c r="A9" s="10" t="s">
        <v>14</v>
      </c>
      <c r="B9" s="11" t="s">
        <v>15</v>
      </c>
      <c r="C9" s="12" t="s">
        <v>16</v>
      </c>
      <c r="D9" s="11" t="s">
        <v>17</v>
      </c>
      <c r="E9" s="12" t="s">
        <v>18</v>
      </c>
      <c r="F9" s="11" t="s">
        <v>19</v>
      </c>
      <c r="G9" s="10" t="s">
        <v>20</v>
      </c>
      <c r="H9" s="11" t="s">
        <v>21</v>
      </c>
      <c r="I9" s="11" t="s">
        <v>22</v>
      </c>
      <c r="J9" s="13" t="s">
        <v>23</v>
      </c>
      <c r="K9" s="13" t="s">
        <v>24</v>
      </c>
      <c r="L9" s="8" t="s">
        <v>25</v>
      </c>
      <c r="M9" s="63"/>
      <c r="N9" s="65"/>
      <c r="O9" s="65"/>
      <c r="P9" s="65"/>
      <c r="Q9" s="65"/>
      <c r="R9" s="65"/>
      <c r="S9" s="65"/>
      <c r="T9" s="11" t="s">
        <v>26</v>
      </c>
      <c r="U9" s="12" t="s">
        <v>27</v>
      </c>
      <c r="V9" s="12" t="s">
        <v>28</v>
      </c>
    </row>
    <row r="10" spans="1:23" s="28" customFormat="1" ht="28.5" thickTop="1" thickBot="1" x14ac:dyDescent="0.3">
      <c r="A10" s="14" t="s">
        <v>29</v>
      </c>
      <c r="B10" s="15" t="s">
        <v>30</v>
      </c>
      <c r="C10" s="16" t="s">
        <v>31</v>
      </c>
      <c r="D10" s="17" t="s">
        <v>32</v>
      </c>
      <c r="E10" s="18" t="s">
        <v>33</v>
      </c>
      <c r="F10" s="18" t="s">
        <v>34</v>
      </c>
      <c r="G10" s="19">
        <v>1</v>
      </c>
      <c r="H10" s="19" t="s">
        <v>35</v>
      </c>
      <c r="I10" s="20" t="s">
        <v>36</v>
      </c>
      <c r="J10" s="21">
        <f>((420/2)+600)*3.6725</f>
        <v>2974.7249999999999</v>
      </c>
      <c r="K10" s="22">
        <f t="shared" ref="K10:K32" si="0">J10/3.6725</f>
        <v>810</v>
      </c>
      <c r="L10" s="23">
        <f t="shared" ref="L10:L32" si="1">K10*G10</f>
        <v>810</v>
      </c>
      <c r="M10" s="23"/>
      <c r="N10" s="23"/>
      <c r="O10" s="23"/>
      <c r="P10" s="23"/>
      <c r="Q10" s="23"/>
      <c r="R10" s="23"/>
      <c r="S10" s="23">
        <f>L10*15.78%</f>
        <v>127.818</v>
      </c>
      <c r="T10" s="24"/>
      <c r="U10" s="25">
        <f t="shared" ref="U10:U34" si="2">SUM(L10:T10)</f>
        <v>937.81799999999998</v>
      </c>
      <c r="V10" s="26"/>
      <c r="W10" s="27"/>
    </row>
    <row r="11" spans="1:23" s="28" customFormat="1" ht="15" thickTop="1" thickBot="1" x14ac:dyDescent="0.3">
      <c r="A11" s="14" t="s">
        <v>37</v>
      </c>
      <c r="B11" s="15" t="s">
        <v>30</v>
      </c>
      <c r="C11" s="16" t="s">
        <v>31</v>
      </c>
      <c r="D11" s="17" t="s">
        <v>32</v>
      </c>
      <c r="E11" s="18" t="s">
        <v>33</v>
      </c>
      <c r="F11" s="18" t="s">
        <v>38</v>
      </c>
      <c r="G11" s="19">
        <v>1</v>
      </c>
      <c r="H11" s="19" t="s">
        <v>35</v>
      </c>
      <c r="I11" s="20" t="s">
        <v>36</v>
      </c>
      <c r="J11" s="21">
        <f>200*3.6725</f>
        <v>734.5</v>
      </c>
      <c r="K11" s="22">
        <f t="shared" si="0"/>
        <v>200</v>
      </c>
      <c r="L11" s="23">
        <f t="shared" si="1"/>
        <v>200</v>
      </c>
      <c r="M11" s="23"/>
      <c r="N11" s="23"/>
      <c r="O11" s="23"/>
      <c r="P11" s="23"/>
      <c r="Q11" s="23"/>
      <c r="R11" s="23"/>
      <c r="S11" s="23">
        <f>L11*15.78%</f>
        <v>31.56</v>
      </c>
      <c r="T11" s="24"/>
      <c r="U11" s="25">
        <f t="shared" si="2"/>
        <v>231.56</v>
      </c>
      <c r="V11" s="26"/>
      <c r="W11" s="27"/>
    </row>
    <row r="12" spans="1:23" s="28" customFormat="1" ht="15" thickTop="1" thickBot="1" x14ac:dyDescent="0.3">
      <c r="A12" s="14" t="s">
        <v>39</v>
      </c>
      <c r="B12" s="15" t="s">
        <v>40</v>
      </c>
      <c r="C12" s="16" t="s">
        <v>31</v>
      </c>
      <c r="D12" s="17" t="s">
        <v>32</v>
      </c>
      <c r="E12" s="18" t="s">
        <v>41</v>
      </c>
      <c r="F12" s="18" t="s">
        <v>38</v>
      </c>
      <c r="G12" s="19">
        <v>1</v>
      </c>
      <c r="H12" s="19" t="s">
        <v>35</v>
      </c>
      <c r="I12" s="20" t="s">
        <v>36</v>
      </c>
      <c r="J12" s="21">
        <f>200*3.6725</f>
        <v>734.5</v>
      </c>
      <c r="K12" s="22">
        <f t="shared" si="0"/>
        <v>200</v>
      </c>
      <c r="L12" s="23">
        <f t="shared" si="1"/>
        <v>200</v>
      </c>
      <c r="M12" s="23"/>
      <c r="N12" s="23"/>
      <c r="O12" s="23"/>
      <c r="P12" s="23"/>
      <c r="Q12" s="23"/>
      <c r="R12" s="23"/>
      <c r="S12" s="23">
        <f t="shared" ref="S12:S34" si="3">L12*15.78%</f>
        <v>31.56</v>
      </c>
      <c r="T12" s="24"/>
      <c r="U12" s="25">
        <f t="shared" si="2"/>
        <v>231.56</v>
      </c>
      <c r="V12" s="26"/>
      <c r="W12" s="27"/>
    </row>
    <row r="13" spans="1:23" s="28" customFormat="1" ht="15" thickTop="1" thickBot="1" x14ac:dyDescent="0.3">
      <c r="A13" s="14" t="s">
        <v>42</v>
      </c>
      <c r="B13" s="15" t="s">
        <v>43</v>
      </c>
      <c r="C13" s="16" t="s">
        <v>31</v>
      </c>
      <c r="D13" s="17" t="s">
        <v>32</v>
      </c>
      <c r="E13" s="18" t="s">
        <v>33</v>
      </c>
      <c r="F13" s="29" t="s">
        <v>44</v>
      </c>
      <c r="G13" s="19">
        <v>1</v>
      </c>
      <c r="H13" s="19" t="s">
        <v>45</v>
      </c>
      <c r="I13" s="20" t="s">
        <v>36</v>
      </c>
      <c r="J13" s="21">
        <f>150*3.6725</f>
        <v>550.875</v>
      </c>
      <c r="K13" s="22">
        <f t="shared" si="0"/>
        <v>150</v>
      </c>
      <c r="L13" s="23">
        <f t="shared" si="1"/>
        <v>150</v>
      </c>
      <c r="M13" s="23"/>
      <c r="N13" s="23"/>
      <c r="O13" s="23"/>
      <c r="P13" s="23"/>
      <c r="Q13" s="23"/>
      <c r="R13" s="23"/>
      <c r="S13" s="23">
        <f t="shared" si="3"/>
        <v>23.669999999999998</v>
      </c>
      <c r="T13" s="24"/>
      <c r="U13" s="25">
        <f t="shared" si="2"/>
        <v>173.67</v>
      </c>
      <c r="V13" s="26" t="s">
        <v>46</v>
      </c>
      <c r="W13" s="27"/>
    </row>
    <row r="14" spans="1:23" s="28" customFormat="1" ht="15" thickTop="1" thickBot="1" x14ac:dyDescent="0.3">
      <c r="A14" s="14" t="s">
        <v>47</v>
      </c>
      <c r="B14" s="15" t="s">
        <v>48</v>
      </c>
      <c r="C14" s="16" t="s">
        <v>31</v>
      </c>
      <c r="D14" s="17" t="s">
        <v>32</v>
      </c>
      <c r="E14" s="18" t="s">
        <v>41</v>
      </c>
      <c r="F14" s="18" t="s">
        <v>38</v>
      </c>
      <c r="G14" s="19">
        <v>1</v>
      </c>
      <c r="H14" s="19" t="s">
        <v>35</v>
      </c>
      <c r="I14" s="20" t="s">
        <v>36</v>
      </c>
      <c r="J14" s="21">
        <f>200*3.6725</f>
        <v>734.5</v>
      </c>
      <c r="K14" s="22">
        <f t="shared" si="0"/>
        <v>200</v>
      </c>
      <c r="L14" s="23">
        <f t="shared" si="1"/>
        <v>200</v>
      </c>
      <c r="M14" s="23"/>
      <c r="N14" s="23"/>
      <c r="O14" s="23"/>
      <c r="P14" s="23"/>
      <c r="Q14" s="23"/>
      <c r="R14" s="23"/>
      <c r="S14" s="23">
        <f t="shared" si="3"/>
        <v>31.56</v>
      </c>
      <c r="T14" s="24"/>
      <c r="U14" s="25">
        <f t="shared" si="2"/>
        <v>231.56</v>
      </c>
      <c r="V14" s="26"/>
      <c r="W14" s="27"/>
    </row>
    <row r="15" spans="1:23" s="28" customFormat="1" ht="15" thickTop="1" thickBot="1" x14ac:dyDescent="0.3">
      <c r="A15" s="14" t="s">
        <v>49</v>
      </c>
      <c r="B15" s="15" t="s">
        <v>50</v>
      </c>
      <c r="C15" s="16" t="s">
        <v>31</v>
      </c>
      <c r="D15" s="17" t="s">
        <v>32</v>
      </c>
      <c r="E15" s="18" t="s">
        <v>51</v>
      </c>
      <c r="F15" s="18" t="s">
        <v>38</v>
      </c>
      <c r="G15" s="19">
        <v>2</v>
      </c>
      <c r="H15" s="19" t="s">
        <v>52</v>
      </c>
      <c r="I15" s="20" t="s">
        <v>53</v>
      </c>
      <c r="J15" s="21">
        <v>1750</v>
      </c>
      <c r="K15" s="22">
        <f t="shared" si="0"/>
        <v>476.51463580667121</v>
      </c>
      <c r="L15" s="23">
        <f t="shared" si="1"/>
        <v>953.02927161334242</v>
      </c>
      <c r="M15" s="23"/>
      <c r="N15" s="23"/>
      <c r="O15" s="23"/>
      <c r="P15" s="23"/>
      <c r="Q15" s="23"/>
      <c r="R15" s="23"/>
      <c r="S15" s="23">
        <f t="shared" si="3"/>
        <v>150.38801906058544</v>
      </c>
      <c r="T15" s="24"/>
      <c r="U15" s="25">
        <f t="shared" si="2"/>
        <v>1103.4172906739279</v>
      </c>
      <c r="V15" s="26" t="s">
        <v>54</v>
      </c>
      <c r="W15" s="27"/>
    </row>
    <row r="16" spans="1:23" s="28" customFormat="1" ht="15" thickTop="1" thickBot="1" x14ac:dyDescent="0.3">
      <c r="A16" s="14" t="s">
        <v>55</v>
      </c>
      <c r="B16" s="15" t="s">
        <v>56</v>
      </c>
      <c r="C16" s="16" t="s">
        <v>31</v>
      </c>
      <c r="D16" s="17" t="s">
        <v>32</v>
      </c>
      <c r="E16" s="18" t="s">
        <v>33</v>
      </c>
      <c r="F16" s="29" t="s">
        <v>38</v>
      </c>
      <c r="G16" s="19">
        <v>1</v>
      </c>
      <c r="H16" s="19" t="s">
        <v>35</v>
      </c>
      <c r="I16" s="20" t="s">
        <v>36</v>
      </c>
      <c r="J16" s="21">
        <v>734.5</v>
      </c>
      <c r="K16" s="22">
        <f t="shared" si="0"/>
        <v>200</v>
      </c>
      <c r="L16" s="23">
        <f t="shared" si="1"/>
        <v>200</v>
      </c>
      <c r="M16" s="23"/>
      <c r="N16" s="23"/>
      <c r="O16" s="23"/>
      <c r="P16" s="23"/>
      <c r="Q16" s="23"/>
      <c r="R16" s="23"/>
      <c r="S16" s="23">
        <f t="shared" si="3"/>
        <v>31.56</v>
      </c>
      <c r="T16" s="24"/>
      <c r="U16" s="25">
        <f t="shared" si="2"/>
        <v>231.56</v>
      </c>
      <c r="V16" s="26"/>
      <c r="W16" s="27"/>
    </row>
    <row r="17" spans="1:23" s="28" customFormat="1" ht="15" thickTop="1" thickBot="1" x14ac:dyDescent="0.3">
      <c r="A17" s="14" t="s">
        <v>57</v>
      </c>
      <c r="B17" s="15" t="s">
        <v>58</v>
      </c>
      <c r="C17" s="16" t="s">
        <v>31</v>
      </c>
      <c r="D17" s="17" t="s">
        <v>32</v>
      </c>
      <c r="E17" s="18" t="s">
        <v>33</v>
      </c>
      <c r="F17" s="18" t="s">
        <v>41</v>
      </c>
      <c r="G17" s="19">
        <v>1</v>
      </c>
      <c r="H17" s="19" t="s">
        <v>45</v>
      </c>
      <c r="I17" s="20" t="s">
        <v>36</v>
      </c>
      <c r="J17" s="21">
        <v>367.25</v>
      </c>
      <c r="K17" s="22">
        <f t="shared" si="0"/>
        <v>100</v>
      </c>
      <c r="L17" s="23">
        <f t="shared" si="1"/>
        <v>100</v>
      </c>
      <c r="M17" s="23"/>
      <c r="N17" s="23"/>
      <c r="O17" s="23"/>
      <c r="P17" s="23"/>
      <c r="Q17" s="23"/>
      <c r="R17" s="23"/>
      <c r="S17" s="23">
        <f t="shared" si="3"/>
        <v>15.78</v>
      </c>
      <c r="T17" s="24"/>
      <c r="U17" s="25">
        <f t="shared" si="2"/>
        <v>115.78</v>
      </c>
      <c r="V17" s="26" t="s">
        <v>59</v>
      </c>
      <c r="W17" s="27"/>
    </row>
    <row r="18" spans="1:23" s="28" customFormat="1" ht="15" thickTop="1" thickBot="1" x14ac:dyDescent="0.3">
      <c r="A18" s="14" t="s">
        <v>60</v>
      </c>
      <c r="B18" s="15" t="s">
        <v>61</v>
      </c>
      <c r="C18" s="16" t="s">
        <v>31</v>
      </c>
      <c r="D18" s="17" t="s">
        <v>32</v>
      </c>
      <c r="E18" s="18" t="s">
        <v>41</v>
      </c>
      <c r="F18" s="18" t="s">
        <v>38</v>
      </c>
      <c r="G18" s="19">
        <v>1</v>
      </c>
      <c r="H18" s="19" t="s">
        <v>35</v>
      </c>
      <c r="I18" s="20" t="s">
        <v>36</v>
      </c>
      <c r="J18" s="21">
        <v>734.5</v>
      </c>
      <c r="K18" s="22">
        <f t="shared" si="0"/>
        <v>200</v>
      </c>
      <c r="L18" s="23">
        <f t="shared" si="1"/>
        <v>200</v>
      </c>
      <c r="M18" s="23"/>
      <c r="N18" s="23"/>
      <c r="O18" s="23"/>
      <c r="P18" s="23"/>
      <c r="Q18" s="23"/>
      <c r="R18" s="23"/>
      <c r="S18" s="23">
        <f t="shared" si="3"/>
        <v>31.56</v>
      </c>
      <c r="T18" s="24"/>
      <c r="U18" s="25">
        <f t="shared" si="2"/>
        <v>231.56</v>
      </c>
      <c r="V18" s="26"/>
      <c r="W18" s="27"/>
    </row>
    <row r="19" spans="1:23" s="28" customFormat="1" ht="15" thickTop="1" thickBot="1" x14ac:dyDescent="0.3">
      <c r="A19" s="14">
        <v>10</v>
      </c>
      <c r="B19" s="15" t="s">
        <v>62</v>
      </c>
      <c r="C19" s="16" t="s">
        <v>31</v>
      </c>
      <c r="D19" s="17" t="s">
        <v>32</v>
      </c>
      <c r="E19" s="18" t="s">
        <v>38</v>
      </c>
      <c r="F19" s="29" t="s">
        <v>44</v>
      </c>
      <c r="G19" s="19">
        <v>1</v>
      </c>
      <c r="H19" s="19" t="s">
        <v>35</v>
      </c>
      <c r="I19" s="20" t="s">
        <v>36</v>
      </c>
      <c r="J19" s="21">
        <f>420*3.6725</f>
        <v>1542.45</v>
      </c>
      <c r="K19" s="22">
        <f t="shared" si="0"/>
        <v>420</v>
      </c>
      <c r="L19" s="23">
        <f t="shared" si="1"/>
        <v>420</v>
      </c>
      <c r="M19" s="23"/>
      <c r="N19" s="23"/>
      <c r="O19" s="23"/>
      <c r="P19" s="23"/>
      <c r="Q19" s="23"/>
      <c r="R19" s="23"/>
      <c r="S19" s="23">
        <f t="shared" si="3"/>
        <v>66.275999999999996</v>
      </c>
      <c r="T19" s="24"/>
      <c r="U19" s="25">
        <f t="shared" si="2"/>
        <v>486.27600000000001</v>
      </c>
      <c r="V19" s="26"/>
      <c r="W19" s="27"/>
    </row>
    <row r="20" spans="1:23" s="28" customFormat="1" ht="15" thickTop="1" thickBot="1" x14ac:dyDescent="0.3">
      <c r="A20" s="14">
        <v>11</v>
      </c>
      <c r="B20" s="15" t="s">
        <v>63</v>
      </c>
      <c r="C20" s="16" t="s">
        <v>31</v>
      </c>
      <c r="D20" s="17" t="s">
        <v>32</v>
      </c>
      <c r="E20" s="18" t="s">
        <v>41</v>
      </c>
      <c r="F20" s="18" t="s">
        <v>38</v>
      </c>
      <c r="G20" s="19">
        <v>1</v>
      </c>
      <c r="H20" s="19" t="s">
        <v>45</v>
      </c>
      <c r="I20" s="20" t="s">
        <v>36</v>
      </c>
      <c r="J20" s="21">
        <v>367.25</v>
      </c>
      <c r="K20" s="22">
        <f t="shared" si="0"/>
        <v>100</v>
      </c>
      <c r="L20" s="23">
        <f t="shared" si="1"/>
        <v>100</v>
      </c>
      <c r="M20" s="23"/>
      <c r="N20" s="23"/>
      <c r="O20" s="23"/>
      <c r="P20" s="23"/>
      <c r="Q20" s="23"/>
      <c r="R20" s="23"/>
      <c r="S20" s="23">
        <f t="shared" si="3"/>
        <v>15.78</v>
      </c>
      <c r="T20" s="24"/>
      <c r="U20" s="25">
        <f t="shared" si="2"/>
        <v>115.78</v>
      </c>
      <c r="V20" s="26"/>
      <c r="W20" s="27"/>
    </row>
    <row r="21" spans="1:23" s="28" customFormat="1" ht="15" thickTop="1" thickBot="1" x14ac:dyDescent="0.3">
      <c r="A21" s="14">
        <v>12</v>
      </c>
      <c r="B21" s="15" t="s">
        <v>64</v>
      </c>
      <c r="C21" s="16" t="s">
        <v>31</v>
      </c>
      <c r="D21" s="17" t="s">
        <v>32</v>
      </c>
      <c r="E21" s="18" t="s">
        <v>33</v>
      </c>
      <c r="F21" s="29" t="s">
        <v>65</v>
      </c>
      <c r="G21" s="19">
        <v>5</v>
      </c>
      <c r="H21" s="19" t="s">
        <v>35</v>
      </c>
      <c r="I21" s="20" t="s">
        <v>36</v>
      </c>
      <c r="J21" s="21">
        <v>734.5</v>
      </c>
      <c r="K21" s="22">
        <f t="shared" si="0"/>
        <v>200</v>
      </c>
      <c r="L21" s="23">
        <f t="shared" si="1"/>
        <v>1000</v>
      </c>
      <c r="M21" s="23"/>
      <c r="N21" s="23"/>
      <c r="O21" s="23"/>
      <c r="P21" s="23"/>
      <c r="Q21" s="23"/>
      <c r="R21" s="23"/>
      <c r="S21" s="23">
        <f t="shared" si="3"/>
        <v>157.79999999999998</v>
      </c>
      <c r="T21" s="24"/>
      <c r="U21" s="25">
        <f t="shared" si="2"/>
        <v>1157.8</v>
      </c>
      <c r="V21" s="26"/>
      <c r="W21" s="27"/>
    </row>
    <row r="22" spans="1:23" s="28" customFormat="1" ht="15" thickTop="1" thickBot="1" x14ac:dyDescent="0.3">
      <c r="A22" s="14">
        <v>13</v>
      </c>
      <c r="B22" s="15" t="s">
        <v>64</v>
      </c>
      <c r="C22" s="16" t="s">
        <v>31</v>
      </c>
      <c r="D22" s="17" t="s">
        <v>32</v>
      </c>
      <c r="E22" s="18" t="s">
        <v>41</v>
      </c>
      <c r="F22" s="29" t="s">
        <v>65</v>
      </c>
      <c r="G22" s="19">
        <v>1</v>
      </c>
      <c r="H22" s="19" t="s">
        <v>35</v>
      </c>
      <c r="I22" s="20" t="s">
        <v>36</v>
      </c>
      <c r="J22" s="21">
        <v>734.5</v>
      </c>
      <c r="K22" s="22">
        <f t="shared" si="0"/>
        <v>200</v>
      </c>
      <c r="L22" s="23">
        <f t="shared" si="1"/>
        <v>200</v>
      </c>
      <c r="M22" s="23"/>
      <c r="N22" s="23"/>
      <c r="O22" s="23"/>
      <c r="P22" s="23"/>
      <c r="Q22" s="23"/>
      <c r="R22" s="23"/>
      <c r="S22" s="23">
        <f t="shared" si="3"/>
        <v>31.56</v>
      </c>
      <c r="T22" s="24"/>
      <c r="U22" s="25">
        <f t="shared" si="2"/>
        <v>231.56</v>
      </c>
      <c r="V22" s="26"/>
      <c r="W22" s="27"/>
    </row>
    <row r="23" spans="1:23" s="28" customFormat="1" ht="15" thickTop="1" thickBot="1" x14ac:dyDescent="0.3">
      <c r="A23" s="14">
        <v>14</v>
      </c>
      <c r="B23" s="15" t="s">
        <v>66</v>
      </c>
      <c r="C23" s="16" t="s">
        <v>31</v>
      </c>
      <c r="D23" s="17" t="s">
        <v>32</v>
      </c>
      <c r="E23" s="29" t="s">
        <v>65</v>
      </c>
      <c r="F23" s="18" t="s">
        <v>33</v>
      </c>
      <c r="G23" s="19">
        <v>5</v>
      </c>
      <c r="H23" s="19" t="s">
        <v>35</v>
      </c>
      <c r="I23" s="20" t="s">
        <v>36</v>
      </c>
      <c r="J23" s="21">
        <v>734.5</v>
      </c>
      <c r="K23" s="22">
        <f t="shared" si="0"/>
        <v>200</v>
      </c>
      <c r="L23" s="23">
        <f t="shared" si="1"/>
        <v>1000</v>
      </c>
      <c r="M23" s="23"/>
      <c r="N23" s="23"/>
      <c r="O23" s="23"/>
      <c r="P23" s="23"/>
      <c r="Q23" s="23"/>
      <c r="R23" s="23"/>
      <c r="S23" s="23">
        <f t="shared" si="3"/>
        <v>157.79999999999998</v>
      </c>
      <c r="T23" s="24"/>
      <c r="U23" s="25">
        <f t="shared" si="2"/>
        <v>1157.8</v>
      </c>
      <c r="V23" s="26"/>
      <c r="W23" s="27"/>
    </row>
    <row r="24" spans="1:23" s="28" customFormat="1" ht="15" thickTop="1" thickBot="1" x14ac:dyDescent="0.3">
      <c r="A24" s="14">
        <v>15</v>
      </c>
      <c r="B24" s="15" t="s">
        <v>66</v>
      </c>
      <c r="C24" s="16" t="s">
        <v>31</v>
      </c>
      <c r="D24" s="17" t="s">
        <v>32</v>
      </c>
      <c r="E24" s="18" t="s">
        <v>33</v>
      </c>
      <c r="F24" s="29" t="s">
        <v>65</v>
      </c>
      <c r="G24" s="19">
        <v>4</v>
      </c>
      <c r="H24" s="19" t="s">
        <v>35</v>
      </c>
      <c r="I24" s="20" t="s">
        <v>36</v>
      </c>
      <c r="J24" s="21">
        <v>734.5</v>
      </c>
      <c r="K24" s="22">
        <f t="shared" si="0"/>
        <v>200</v>
      </c>
      <c r="L24" s="23">
        <f t="shared" si="1"/>
        <v>800</v>
      </c>
      <c r="M24" s="23"/>
      <c r="N24" s="23"/>
      <c r="O24" s="23"/>
      <c r="P24" s="23"/>
      <c r="Q24" s="23"/>
      <c r="R24" s="23"/>
      <c r="S24" s="23">
        <f t="shared" si="3"/>
        <v>126.24</v>
      </c>
      <c r="T24" s="24"/>
      <c r="U24" s="25">
        <f t="shared" si="2"/>
        <v>926.24</v>
      </c>
      <c r="V24" s="26"/>
      <c r="W24" s="27"/>
    </row>
    <row r="25" spans="1:23" s="28" customFormat="1" ht="15" thickTop="1" thickBot="1" x14ac:dyDescent="0.3">
      <c r="A25" s="14">
        <v>16</v>
      </c>
      <c r="B25" s="15" t="s">
        <v>67</v>
      </c>
      <c r="C25" s="16" t="s">
        <v>31</v>
      </c>
      <c r="D25" s="17" t="s">
        <v>32</v>
      </c>
      <c r="E25" s="18" t="s">
        <v>41</v>
      </c>
      <c r="F25" s="18" t="s">
        <v>38</v>
      </c>
      <c r="G25" s="19">
        <v>1</v>
      </c>
      <c r="H25" s="19" t="s">
        <v>45</v>
      </c>
      <c r="I25" s="20" t="s">
        <v>36</v>
      </c>
      <c r="J25" s="21">
        <v>367.25</v>
      </c>
      <c r="K25" s="22">
        <f t="shared" si="0"/>
        <v>100</v>
      </c>
      <c r="L25" s="23">
        <f t="shared" si="1"/>
        <v>100</v>
      </c>
      <c r="M25" s="23"/>
      <c r="N25" s="23"/>
      <c r="O25" s="23"/>
      <c r="P25" s="23"/>
      <c r="Q25" s="23"/>
      <c r="R25" s="23"/>
      <c r="S25" s="23">
        <f t="shared" si="3"/>
        <v>15.78</v>
      </c>
      <c r="T25" s="24"/>
      <c r="U25" s="25">
        <f t="shared" si="2"/>
        <v>115.78</v>
      </c>
      <c r="V25" s="26" t="s">
        <v>59</v>
      </c>
      <c r="W25" s="27"/>
    </row>
    <row r="26" spans="1:23" s="28" customFormat="1" ht="15" thickTop="1" thickBot="1" x14ac:dyDescent="0.3">
      <c r="A26" s="14">
        <v>17</v>
      </c>
      <c r="B26" s="15" t="s">
        <v>68</v>
      </c>
      <c r="C26" s="16" t="s">
        <v>31</v>
      </c>
      <c r="D26" s="17" t="s">
        <v>32</v>
      </c>
      <c r="E26" s="18" t="s">
        <v>38</v>
      </c>
      <c r="F26" s="18" t="s">
        <v>41</v>
      </c>
      <c r="G26" s="19">
        <v>2</v>
      </c>
      <c r="H26" s="19" t="s">
        <v>35</v>
      </c>
      <c r="I26" s="20" t="s">
        <v>36</v>
      </c>
      <c r="J26" s="21">
        <f>367.25*2</f>
        <v>734.5</v>
      </c>
      <c r="K26" s="22">
        <f t="shared" si="0"/>
        <v>200</v>
      </c>
      <c r="L26" s="23">
        <f t="shared" si="1"/>
        <v>400</v>
      </c>
      <c r="M26" s="23"/>
      <c r="N26" s="23"/>
      <c r="O26" s="23"/>
      <c r="P26" s="23"/>
      <c r="Q26" s="23"/>
      <c r="R26" s="23"/>
      <c r="S26" s="23">
        <f t="shared" si="3"/>
        <v>63.12</v>
      </c>
      <c r="T26" s="24"/>
      <c r="U26" s="25">
        <f t="shared" si="2"/>
        <v>463.12</v>
      </c>
      <c r="V26" s="26"/>
      <c r="W26" s="27"/>
    </row>
    <row r="27" spans="1:23" s="28" customFormat="1" ht="16.5" customHeight="1" thickTop="1" thickBot="1" x14ac:dyDescent="0.3">
      <c r="A27" s="30">
        <v>18</v>
      </c>
      <c r="B27" s="15" t="s">
        <v>68</v>
      </c>
      <c r="C27" s="31" t="s">
        <v>31</v>
      </c>
      <c r="D27" s="17" t="s">
        <v>32</v>
      </c>
      <c r="E27" s="18" t="s">
        <v>38</v>
      </c>
      <c r="F27" s="18" t="s">
        <v>41</v>
      </c>
      <c r="G27" s="19">
        <v>1</v>
      </c>
      <c r="H27" s="19" t="s">
        <v>45</v>
      </c>
      <c r="I27" s="20" t="s">
        <v>36</v>
      </c>
      <c r="J27" s="21">
        <v>367.25</v>
      </c>
      <c r="K27" s="22">
        <f t="shared" si="0"/>
        <v>100</v>
      </c>
      <c r="L27" s="23">
        <f t="shared" si="1"/>
        <v>100</v>
      </c>
      <c r="M27" s="23"/>
      <c r="N27" s="23"/>
      <c r="O27" s="23"/>
      <c r="P27" s="23"/>
      <c r="Q27" s="23"/>
      <c r="R27" s="23"/>
      <c r="S27" s="23">
        <f t="shared" si="3"/>
        <v>15.78</v>
      </c>
      <c r="T27" s="24"/>
      <c r="U27" s="25">
        <f t="shared" si="2"/>
        <v>115.78</v>
      </c>
      <c r="V27" s="32"/>
    </row>
    <row r="28" spans="1:23" s="28" customFormat="1" ht="16.5" customHeight="1" thickTop="1" thickBot="1" x14ac:dyDescent="0.3">
      <c r="A28" s="33">
        <v>19</v>
      </c>
      <c r="B28" s="34" t="s">
        <v>69</v>
      </c>
      <c r="C28" s="31" t="s">
        <v>31</v>
      </c>
      <c r="D28" s="17" t="s">
        <v>70</v>
      </c>
      <c r="E28" s="18" t="s">
        <v>71</v>
      </c>
      <c r="F28" s="29" t="s">
        <v>71</v>
      </c>
      <c r="G28" s="19">
        <v>1</v>
      </c>
      <c r="H28" s="19" t="s">
        <v>72</v>
      </c>
      <c r="I28" s="20" t="s">
        <v>73</v>
      </c>
      <c r="J28" s="21">
        <f>125*3.6725</f>
        <v>459.0625</v>
      </c>
      <c r="K28" s="22">
        <f t="shared" si="0"/>
        <v>125</v>
      </c>
      <c r="L28" s="23">
        <f t="shared" si="1"/>
        <v>125</v>
      </c>
      <c r="M28" s="23"/>
      <c r="N28" s="23"/>
      <c r="O28" s="23"/>
      <c r="P28" s="23"/>
      <c r="Q28" s="23"/>
      <c r="R28" s="23"/>
      <c r="S28" s="23"/>
      <c r="T28" s="24"/>
      <c r="U28" s="25">
        <f t="shared" si="2"/>
        <v>125</v>
      </c>
      <c r="V28" s="32"/>
    </row>
    <row r="29" spans="1:23" s="28" customFormat="1" ht="16.5" customHeight="1" thickTop="1" thickBot="1" x14ac:dyDescent="0.3">
      <c r="A29" s="14" t="s">
        <v>29</v>
      </c>
      <c r="B29" s="34" t="s">
        <v>66</v>
      </c>
      <c r="C29" s="17" t="s">
        <v>78</v>
      </c>
      <c r="D29" s="17" t="s">
        <v>32</v>
      </c>
      <c r="E29" s="18" t="s">
        <v>41</v>
      </c>
      <c r="F29" s="29" t="s">
        <v>33</v>
      </c>
      <c r="G29" s="19">
        <v>2</v>
      </c>
      <c r="H29" s="19" t="s">
        <v>79</v>
      </c>
      <c r="I29" s="20" t="s">
        <v>53</v>
      </c>
      <c r="J29" s="21">
        <v>3000</v>
      </c>
      <c r="K29" s="22">
        <f t="shared" si="0"/>
        <v>816.88223281143632</v>
      </c>
      <c r="L29" s="23">
        <f t="shared" si="1"/>
        <v>1633.7644656228726</v>
      </c>
      <c r="M29" s="23"/>
      <c r="N29" s="23"/>
      <c r="O29" s="23"/>
      <c r="P29" s="23"/>
      <c r="Q29" s="23"/>
      <c r="R29" s="23"/>
      <c r="S29" s="23">
        <f t="shared" ref="S29:S32" si="4">L29*15.78%</f>
        <v>257.80803267528927</v>
      </c>
      <c r="T29" s="24"/>
      <c r="U29" s="25">
        <f t="shared" si="2"/>
        <v>1891.5724982981619</v>
      </c>
      <c r="V29" s="32"/>
    </row>
    <row r="30" spans="1:23" s="28" customFormat="1" ht="16.5" customHeight="1" thickTop="1" thickBot="1" x14ac:dyDescent="0.3">
      <c r="A30" s="14" t="s">
        <v>37</v>
      </c>
      <c r="B30" s="34" t="s">
        <v>66</v>
      </c>
      <c r="C30" s="17" t="s">
        <v>78</v>
      </c>
      <c r="D30" s="17" t="s">
        <v>32</v>
      </c>
      <c r="E30" s="18" t="s">
        <v>33</v>
      </c>
      <c r="F30" s="29" t="s">
        <v>65</v>
      </c>
      <c r="G30" s="19">
        <v>2</v>
      </c>
      <c r="H30" s="19" t="s">
        <v>79</v>
      </c>
      <c r="I30" s="20" t="s">
        <v>53</v>
      </c>
      <c r="J30" s="21">
        <v>3000</v>
      </c>
      <c r="K30" s="22">
        <f t="shared" si="0"/>
        <v>816.88223281143632</v>
      </c>
      <c r="L30" s="23">
        <f t="shared" si="1"/>
        <v>1633.7644656228726</v>
      </c>
      <c r="M30" s="23"/>
      <c r="N30" s="23"/>
      <c r="O30" s="23"/>
      <c r="P30" s="23"/>
      <c r="Q30" s="23"/>
      <c r="R30" s="23"/>
      <c r="S30" s="23">
        <f t="shared" si="4"/>
        <v>257.80803267528927</v>
      </c>
      <c r="T30" s="24"/>
      <c r="U30" s="25">
        <f t="shared" si="2"/>
        <v>1891.5724982981619</v>
      </c>
      <c r="V30" s="32"/>
    </row>
    <row r="31" spans="1:23" s="28" customFormat="1" ht="16.5" customHeight="1" thickTop="1" thickBot="1" x14ac:dyDescent="0.3">
      <c r="A31" s="14" t="s">
        <v>39</v>
      </c>
      <c r="B31" s="34" t="s">
        <v>66</v>
      </c>
      <c r="C31" s="17" t="s">
        <v>78</v>
      </c>
      <c r="D31" s="17" t="s">
        <v>32</v>
      </c>
      <c r="E31" s="29" t="s">
        <v>65</v>
      </c>
      <c r="F31" s="18" t="s">
        <v>33</v>
      </c>
      <c r="G31" s="19">
        <v>2</v>
      </c>
      <c r="H31" s="19" t="s">
        <v>79</v>
      </c>
      <c r="I31" s="20" t="s">
        <v>53</v>
      </c>
      <c r="J31" s="21">
        <v>3000</v>
      </c>
      <c r="K31" s="22">
        <f t="shared" si="0"/>
        <v>816.88223281143632</v>
      </c>
      <c r="L31" s="23">
        <f t="shared" si="1"/>
        <v>1633.7644656228726</v>
      </c>
      <c r="M31" s="23"/>
      <c r="N31" s="23"/>
      <c r="O31" s="23"/>
      <c r="P31" s="23"/>
      <c r="Q31" s="23"/>
      <c r="R31" s="23"/>
      <c r="S31" s="23">
        <f t="shared" si="4"/>
        <v>257.80803267528927</v>
      </c>
      <c r="T31" s="24"/>
      <c r="U31" s="25">
        <f t="shared" si="2"/>
        <v>1891.5724982981619</v>
      </c>
      <c r="V31" s="32"/>
    </row>
    <row r="32" spans="1:23" s="28" customFormat="1" ht="16.5" customHeight="1" thickTop="1" thickBot="1" x14ac:dyDescent="0.3">
      <c r="A32" s="14" t="s">
        <v>42</v>
      </c>
      <c r="B32" s="34" t="s">
        <v>66</v>
      </c>
      <c r="C32" s="17" t="s">
        <v>78</v>
      </c>
      <c r="D32" s="17" t="s">
        <v>32</v>
      </c>
      <c r="E32" s="18" t="s">
        <v>33</v>
      </c>
      <c r="F32" s="29" t="s">
        <v>65</v>
      </c>
      <c r="G32" s="19">
        <v>2</v>
      </c>
      <c r="H32" s="19" t="s">
        <v>79</v>
      </c>
      <c r="I32" s="20" t="s">
        <v>53</v>
      </c>
      <c r="J32" s="21">
        <v>3000</v>
      </c>
      <c r="K32" s="22">
        <f t="shared" si="0"/>
        <v>816.88223281143632</v>
      </c>
      <c r="L32" s="23">
        <f t="shared" si="1"/>
        <v>1633.7644656228726</v>
      </c>
      <c r="M32" s="23"/>
      <c r="N32" s="23"/>
      <c r="O32" s="23"/>
      <c r="P32" s="23"/>
      <c r="Q32" s="23"/>
      <c r="R32" s="23"/>
      <c r="S32" s="23">
        <f t="shared" si="4"/>
        <v>257.80803267528927</v>
      </c>
      <c r="T32" s="24"/>
      <c r="U32" s="25">
        <f t="shared" si="2"/>
        <v>1891.5724982981619</v>
      </c>
      <c r="V32" s="32"/>
    </row>
    <row r="33" spans="1:23" s="28" customFormat="1" ht="16.5" customHeight="1" thickTop="1" thickBot="1" x14ac:dyDescent="0.3">
      <c r="A33" s="33"/>
      <c r="B33" s="34"/>
      <c r="C33" s="17"/>
      <c r="D33" s="17"/>
      <c r="E33" s="18"/>
      <c r="F33" s="29"/>
      <c r="G33" s="19"/>
      <c r="H33" s="19"/>
      <c r="I33" s="20"/>
      <c r="J33" s="21"/>
      <c r="K33" s="22"/>
      <c r="L33" s="23"/>
      <c r="M33" s="23"/>
      <c r="N33" s="23"/>
      <c r="O33" s="23"/>
      <c r="P33" s="23"/>
      <c r="Q33" s="23"/>
      <c r="R33" s="23"/>
      <c r="S33" s="23"/>
      <c r="T33" s="24"/>
      <c r="U33" s="25"/>
      <c r="V33" s="32"/>
    </row>
    <row r="34" spans="1:23" s="28" customFormat="1" ht="16.5" customHeight="1" thickTop="1" thickBot="1" x14ac:dyDescent="0.3">
      <c r="A34" s="35"/>
      <c r="B34" s="36"/>
      <c r="C34" s="37"/>
      <c r="D34" s="17"/>
      <c r="E34" s="18"/>
      <c r="F34" s="29"/>
      <c r="G34" s="19"/>
      <c r="H34" s="19"/>
      <c r="I34" s="20"/>
      <c r="J34" s="21"/>
      <c r="K34" s="22"/>
      <c r="L34" s="23"/>
      <c r="M34" s="23"/>
      <c r="N34" s="23"/>
      <c r="O34" s="23"/>
      <c r="P34" s="23"/>
      <c r="Q34" s="23"/>
      <c r="R34" s="23"/>
      <c r="S34" s="23">
        <f t="shared" si="3"/>
        <v>0</v>
      </c>
      <c r="T34" s="24"/>
      <c r="U34" s="25">
        <f t="shared" si="2"/>
        <v>0</v>
      </c>
      <c r="V34" s="26"/>
      <c r="W34" s="27"/>
    </row>
    <row r="35" spans="1:23" ht="16.5" customHeight="1" thickTop="1" thickBot="1" x14ac:dyDescent="0.3">
      <c r="A35" s="55" t="s">
        <v>74</v>
      </c>
      <c r="B35" s="56"/>
      <c r="C35" s="56"/>
      <c r="D35" s="56"/>
      <c r="E35" s="56"/>
      <c r="F35" s="56"/>
      <c r="G35" s="56"/>
      <c r="H35" s="56"/>
      <c r="I35" s="56"/>
      <c r="J35" s="56"/>
      <c r="K35" s="57"/>
      <c r="L35" s="38">
        <f>SUM(L10:L34)</f>
        <v>13793.087134104835</v>
      </c>
      <c r="M35" s="39"/>
      <c r="N35" s="39"/>
      <c r="O35" s="39"/>
      <c r="P35" s="39"/>
      <c r="Q35" s="39"/>
      <c r="R35" s="39"/>
      <c r="S35" s="38">
        <f>SUM(S10:S34)</f>
        <v>2156.8241497617419</v>
      </c>
      <c r="T35" s="39"/>
      <c r="U35" s="40">
        <f>SUM(U10:U34)</f>
        <v>15949.911283866579</v>
      </c>
      <c r="V35" s="41"/>
    </row>
    <row r="36" spans="1:23" ht="14.25" thickTop="1" x14ac:dyDescent="0.25"/>
    <row r="37" spans="1:23" x14ac:dyDescent="0.25">
      <c r="U37" s="44"/>
      <c r="W37" s="45"/>
    </row>
    <row r="38" spans="1:23" x14ac:dyDescent="0.25">
      <c r="H38" s="58" t="s">
        <v>75</v>
      </c>
      <c r="I38" s="58"/>
      <c r="J38" s="58"/>
      <c r="K38" s="46">
        <f>L35</f>
        <v>13793.087134104835</v>
      </c>
      <c r="M38" s="44"/>
      <c r="N38" s="44"/>
      <c r="O38" s="44"/>
      <c r="P38" s="44"/>
      <c r="Q38" s="44"/>
      <c r="R38" s="44"/>
      <c r="S38" s="44"/>
      <c r="U38" s="47"/>
    </row>
    <row r="39" spans="1:23" x14ac:dyDescent="0.25">
      <c r="H39" s="58" t="s">
        <v>76</v>
      </c>
      <c r="I39" s="58"/>
      <c r="J39" s="58"/>
      <c r="K39" s="46">
        <f>S35</f>
        <v>2156.8241497617419</v>
      </c>
      <c r="L39" s="48"/>
      <c r="M39" s="43"/>
    </row>
    <row r="40" spans="1:23" x14ac:dyDescent="0.25">
      <c r="H40" s="59" t="s">
        <v>77</v>
      </c>
      <c r="I40" s="59"/>
      <c r="J40" s="59"/>
      <c r="K40" s="46">
        <f>SUM(K38:K39)</f>
        <v>15949.911283866577</v>
      </c>
      <c r="L40" s="48"/>
      <c r="M40" s="43"/>
      <c r="U40" s="44"/>
    </row>
    <row r="41" spans="1:23" x14ac:dyDescent="0.25">
      <c r="L41" s="48"/>
      <c r="M41" s="43"/>
      <c r="U41" s="50">
        <f>U35*3.6725</f>
        <v>58576.049190000005</v>
      </c>
    </row>
    <row r="42" spans="1:23" x14ac:dyDescent="0.25">
      <c r="E42" s="51"/>
      <c r="L42" s="52"/>
      <c r="M42" s="49"/>
    </row>
    <row r="43" spans="1:23" x14ac:dyDescent="0.25">
      <c r="L43" s="52"/>
      <c r="M43" s="49"/>
      <c r="U43" s="44"/>
    </row>
    <row r="44" spans="1:23" x14ac:dyDescent="0.25">
      <c r="L44" s="48"/>
    </row>
    <row r="45" spans="1:23" x14ac:dyDescent="0.25">
      <c r="L45" s="48"/>
      <c r="U45" s="47"/>
    </row>
    <row r="46" spans="1:23" x14ac:dyDescent="0.25">
      <c r="L46" s="48"/>
      <c r="U46" s="47"/>
    </row>
    <row r="47" spans="1:23" x14ac:dyDescent="0.25">
      <c r="L47" s="52"/>
      <c r="U47" s="47"/>
    </row>
    <row r="48" spans="1:23" x14ac:dyDescent="0.25">
      <c r="L48" s="52"/>
    </row>
    <row r="49" spans="12:12" x14ac:dyDescent="0.25">
      <c r="L49" s="52"/>
    </row>
    <row r="50" spans="12:12" x14ac:dyDescent="0.25">
      <c r="L50" s="52"/>
    </row>
  </sheetData>
  <autoFilter ref="A9:W27" xr:uid="{00000000-0001-0000-0100-000000000000}"/>
  <mergeCells count="15">
    <mergeCell ref="B2:U2"/>
    <mergeCell ref="A6:V6"/>
    <mergeCell ref="G8:L8"/>
    <mergeCell ref="M8:M9"/>
    <mergeCell ref="N8:N9"/>
    <mergeCell ref="O8:O9"/>
    <mergeCell ref="P8:P9"/>
    <mergeCell ref="Q8:Q9"/>
    <mergeCell ref="R8:R9"/>
    <mergeCell ref="S8:S9"/>
    <mergeCell ref="T8:U8"/>
    <mergeCell ref="A35:K35"/>
    <mergeCell ref="H38:J38"/>
    <mergeCell ref="H39:J39"/>
    <mergeCell ref="H40:J40"/>
  </mergeCells>
  <conditionalFormatting sqref="C34">
    <cfRule type="duplicateValues" dxfId="0" priority="1"/>
  </conditionalFormatting>
  <pageMargins left="0.7" right="0.7" top="0.75" bottom="0.75" header="0.3" footer="0.3"/>
  <pageSetup paperSize="9" scale="35" orientation="landscape" r:id="rId1"/>
  <headerFooter>
    <oddFooter>&amp;C_x000D_&amp;1#&amp;"Aptos"&amp;10&amp;K000000 DSV 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376cfa-f0b6-4371-99ad-7148527816d7" xsi:nil="true"/>
    <lcf76f155ced4ddcb4097134ff3c332f xmlns="4ed7d3a9-713a-4e35-b173-170e570bbf8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0E76A5882C8F4EB7943A7243FFB88C" ma:contentTypeVersion="14" ma:contentTypeDescription="Create a new document." ma:contentTypeScope="" ma:versionID="b1b7fb3225a326f3db86ff6788ed386f">
  <xsd:schema xmlns:xsd="http://www.w3.org/2001/XMLSchema" xmlns:xs="http://www.w3.org/2001/XMLSchema" xmlns:p="http://schemas.microsoft.com/office/2006/metadata/properties" xmlns:ns2="4ed7d3a9-713a-4e35-b173-170e570bbf8b" xmlns:ns3="fd376cfa-f0b6-4371-99ad-7148527816d7" targetNamespace="http://schemas.microsoft.com/office/2006/metadata/properties" ma:root="true" ma:fieldsID="2a1100d733f9f1685fc3b69300f73ead" ns2:_="" ns3:_="">
    <xsd:import namespace="4ed7d3a9-713a-4e35-b173-170e570bbf8b"/>
    <xsd:import namespace="fd376cfa-f0b6-4371-99ad-7148527816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7d3a9-713a-4e35-b173-170e570bbf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376cfa-f0b6-4371-99ad-7148527816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bde04c-230c-4ba8-a251-9ee091403d3d}" ma:internalName="TaxCatchAll" ma:showField="CatchAllData" ma:web="fd376cfa-f0b6-4371-99ad-7148527816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3855A2-6AC1-42B6-A82A-E114BDFA7112}">
  <ds:schemaRefs>
    <ds:schemaRef ds:uri="http://schemas.microsoft.com/office/2006/metadata/properties"/>
    <ds:schemaRef ds:uri="http://schemas.microsoft.com/office/infopath/2007/PartnerControls"/>
    <ds:schemaRef ds:uri="fd376cfa-f0b6-4371-99ad-7148527816d7"/>
    <ds:schemaRef ds:uri="4ed7d3a9-713a-4e35-b173-170e570bbf8b"/>
  </ds:schemaRefs>
</ds:datastoreItem>
</file>

<file path=customXml/itemProps2.xml><?xml version="1.0" encoding="utf-8"?>
<ds:datastoreItem xmlns:ds="http://schemas.openxmlformats.org/officeDocument/2006/customXml" ds:itemID="{15E22EF7-FF64-49F2-B119-900BA6E4E8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D84175-93A8-4FED-ACA6-E8F01BFAA4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d7d3a9-713a-4e35-b173-170e570bbf8b"/>
    <ds:schemaRef ds:uri="fd376cfa-f0b6-4371-99ad-7148527816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 TRIPS (MAY)</vt:lpstr>
    </vt:vector>
  </TitlesOfParts>
  <Company>DSV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Romeo Etis - DSV</dc:creator>
  <cp:lastModifiedBy>John Romeo Etis - DSV</cp:lastModifiedBy>
  <dcterms:created xsi:type="dcterms:W3CDTF">2026-06-10T07:42:51Z</dcterms:created>
  <dcterms:modified xsi:type="dcterms:W3CDTF">2026-06-10T07:47:20Z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2026-06-10T07:43:56Z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34404bdc-1797-4b09-96b4-bfb4bc2754e4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  <property fmtid="{D5CDD505-2E9C-101B-9397-08002B2CF9AE}" pid="10" name="ContentTypeId">
    <vt:lpwstr>0x010100EB0E76A5882C8F4EB7943A7243FFB88C</vt:lpwstr>
  </property>
  <property fmtid="{D5CDD505-2E9C-101B-9397-08002B2CF9AE}" pid="11" name="MediaServiceImageTags">
    <vt:lpwstr/>
  </property>
</Properties>
</file>